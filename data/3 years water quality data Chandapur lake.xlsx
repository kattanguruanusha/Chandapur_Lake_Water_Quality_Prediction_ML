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meena G A\Desktop\lakes data month wise\"/>
    </mc:Choice>
  </mc:AlternateContent>
  <xr:revisionPtr revIDLastSave="0" documentId="13_ncr:1_{D5B73F09-62A6-4F72-B740-B1F9E6A13E7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6" l="1"/>
  <c r="K14" i="6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D15" i="4"/>
  <c r="C15" i="4"/>
  <c r="B15" i="4"/>
  <c r="E15" i="4"/>
  <c r="F15" i="4"/>
  <c r="A15" i="4"/>
</calcChain>
</file>

<file path=xl/sharedStrings.xml><?xml version="1.0" encoding="utf-8"?>
<sst xmlns="http://schemas.openxmlformats.org/spreadsheetml/2006/main" count="419" uniqueCount="103">
  <si>
    <t>Sampling Month</t>
  </si>
  <si>
    <t>Name of Monitoring location</t>
  </si>
  <si>
    <t>Use based class</t>
  </si>
  <si>
    <t>Dissolved O2 (mg/L)</t>
  </si>
  <si>
    <t>pH</t>
  </si>
  <si>
    <t>Conductivity (micro;mho/cm)</t>
  </si>
  <si>
    <t>BOD (mg/L)</t>
  </si>
  <si>
    <t>Fecal coliform (MPN/100ml)</t>
  </si>
  <si>
    <t>Total coliform (MPN/100ml)</t>
  </si>
  <si>
    <t>Fecal streptococci (MPN/100ml)</t>
  </si>
  <si>
    <t>Nitrate (N) (mg/L)</t>
  </si>
  <si>
    <t>Bicarbonate (HCO3)</t>
  </si>
  <si>
    <t>Carbonate (CO3)</t>
  </si>
  <si>
    <t>Turbidity (mg/L)</t>
  </si>
  <si>
    <t>Phenaphthalein Alkalinity (mg/L)</t>
  </si>
  <si>
    <t>Total Alkalinity (mg/L)</t>
  </si>
  <si>
    <t>Chlorides (mg/L)</t>
  </si>
  <si>
    <t>COD (mg/L)</t>
  </si>
  <si>
    <t>Total Kjedhal Nitogen (mg/L)</t>
  </si>
  <si>
    <t>Ammonical-N (mg/L)</t>
  </si>
  <si>
    <t>Total Hardness (mg/L)</t>
  </si>
  <si>
    <t>Ca as CaCo3 (mg/L)</t>
  </si>
  <si>
    <t>Mg as CaCo3 (mg/L)</t>
  </si>
  <si>
    <t>Sulphate (mg/L)</t>
  </si>
  <si>
    <t>Sodium (mg/l)</t>
  </si>
  <si>
    <t>Total Dissolved Solids (mg/L)</t>
  </si>
  <si>
    <t>Total Suspended Solids (mg/L)</t>
  </si>
  <si>
    <t>Phosphate (mg/L)</t>
  </si>
  <si>
    <t>Boron (mg/L)</t>
  </si>
  <si>
    <t>Potassium (mg/L)</t>
  </si>
  <si>
    <t>Fluoride (mg/L)</t>
  </si>
  <si>
    <t>Sodium percentage</t>
  </si>
  <si>
    <t>SAR</t>
  </si>
  <si>
    <t>Ortho Phosphate (mg/L)</t>
  </si>
  <si>
    <t>Water Quality Data of Chandapura Lake, Bengaluru (July 2023 - July 2025)</t>
  </si>
  <si>
    <t>Chandapura lake</t>
  </si>
  <si>
    <t>E (Irrigation, Industrial cooling &amp; Controlled Waste)</t>
  </si>
  <si>
    <t>0.3(BDL)</t>
  </si>
  <si>
    <t>…....</t>
  </si>
  <si>
    <t>3(BDL)</t>
  </si>
  <si>
    <t>5(BDL)</t>
  </si>
  <si>
    <t>…...</t>
  </si>
  <si>
    <t>0.5(BDL)</t>
  </si>
  <si>
    <t>…..</t>
  </si>
  <si>
    <t>….</t>
  </si>
  <si>
    <t>NA</t>
  </si>
  <si>
    <t>0.2(BDL)</t>
  </si>
  <si>
    <t>Cadmium (mg/L</t>
  </si>
  <si>
    <t>Copper (mg/L)</t>
  </si>
  <si>
    <t>Lead (mg/L)</t>
  </si>
  <si>
    <t>Chromium (mg/L)</t>
  </si>
  <si>
    <t>Nickel (mg/L)</t>
  </si>
  <si>
    <t>Zinc (mg/L)</t>
  </si>
  <si>
    <t>Iron (mg/L)</t>
  </si>
  <si>
    <t>Manganese (mg/L)</t>
  </si>
  <si>
    <t>Temperature</t>
  </si>
  <si>
    <t>0.00042(BDL)</t>
  </si>
  <si>
    <t>0.00035(BDL)</t>
  </si>
  <si>
    <t>0.00031(BDL)</t>
  </si>
  <si>
    <t>Ca</t>
  </si>
  <si>
    <t>Mg</t>
  </si>
  <si>
    <t>Nitrite (N) (mg/L)</t>
  </si>
  <si>
    <t>0.02(BDL)</t>
  </si>
  <si>
    <t>0.00056(BDL)</t>
  </si>
  <si>
    <t>0.00054(BDL)</t>
  </si>
  <si>
    <t>10(BDL)</t>
  </si>
  <si>
    <t>0.05(BDL)</t>
  </si>
  <si>
    <t>1.5(BDL)</t>
  </si>
  <si>
    <t>0.00059(BDL)</t>
  </si>
  <si>
    <t>D ((Propagation of wild life,fisheries)</t>
  </si>
  <si>
    <t>(BDL)</t>
  </si>
  <si>
    <t>Pre monsoon data</t>
  </si>
  <si>
    <t>Post monsoon data</t>
  </si>
  <si>
    <t>Pre-monsoon</t>
  </si>
  <si>
    <t>Post-monsoon</t>
  </si>
  <si>
    <t>Month</t>
  </si>
  <si>
    <t>EC (micro;mho/cm)</t>
  </si>
  <si>
    <t>TDS (mg/L)</t>
  </si>
  <si>
    <t>FC (MPN/100ml)</t>
  </si>
  <si>
    <t>TC (MPN/100ml)</t>
  </si>
  <si>
    <t xml:space="preserve"> Dissolved O2 (mg/L)</t>
  </si>
  <si>
    <t>parameter</t>
  </si>
  <si>
    <t>Sn (Standard)</t>
  </si>
  <si>
    <t>VI (Ideal)</t>
  </si>
  <si>
    <t>Wn (unit weight)</t>
  </si>
  <si>
    <t>Sum (Qn * Wn)</t>
  </si>
  <si>
    <t>Sum (Wn)</t>
  </si>
  <si>
    <t>WAWQI</t>
  </si>
  <si>
    <t>Status</t>
  </si>
  <si>
    <t>PH</t>
  </si>
  <si>
    <t>EC</t>
  </si>
  <si>
    <t>Do</t>
  </si>
  <si>
    <t>BOD</t>
  </si>
  <si>
    <t>COD</t>
  </si>
  <si>
    <t>TDS</t>
  </si>
  <si>
    <t xml:space="preserve">FC </t>
  </si>
  <si>
    <t xml:space="preserve">TC </t>
  </si>
  <si>
    <t>Nitrate</t>
  </si>
  <si>
    <t>Turbidity</t>
  </si>
  <si>
    <t>Unsuitable for drinking</t>
  </si>
  <si>
    <t>Post monsoon</t>
  </si>
  <si>
    <t>Pre monsoon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</si>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</sst>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lgerian"/>
      <family val="5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2338145231846"/>
          <c:y val="0.16245370370370371"/>
          <c:w val="0.86821062992125986"/>
          <c:h val="0.5260721055701369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Sheet4!$A$1:$A$2</c:f>
              <c:strCache>
                <c:ptCount val="2"/>
                <c:pt idx="0">
                  <c:v>pH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Sheet4!$A$3:$A$15</c:f>
              <c:numCache>
                <c:formatCode>General</c:formatCode>
                <c:ptCount val="13"/>
                <c:pt idx="0">
                  <c:v>7.4</c:v>
                </c:pt>
                <c:pt idx="1">
                  <c:v>7.19</c:v>
                </c:pt>
                <c:pt idx="2">
                  <c:v>7.25</c:v>
                </c:pt>
                <c:pt idx="3">
                  <c:v>7.3</c:v>
                </c:pt>
                <c:pt idx="4">
                  <c:v>7.5</c:v>
                </c:pt>
                <c:pt idx="5">
                  <c:v>7.4</c:v>
                </c:pt>
                <c:pt idx="6">
                  <c:v>7.1</c:v>
                </c:pt>
                <c:pt idx="7">
                  <c:v>6.8</c:v>
                </c:pt>
                <c:pt idx="8">
                  <c:v>7.7</c:v>
                </c:pt>
                <c:pt idx="9">
                  <c:v>7.6</c:v>
                </c:pt>
                <c:pt idx="10">
                  <c:v>6.9</c:v>
                </c:pt>
                <c:pt idx="11">
                  <c:v>7.4</c:v>
                </c:pt>
                <c:pt idx="12">
                  <c:v>7.2950000000000008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E-451C-B6B9-F05C20C885EB}"/>
            </c:ext>
          </c:extLst>
        </c:ser>
        <c:ser>
          <c:idx val="1"/>
          <c:order val="1"/>
          <c:tx>
            <c:strRef>
              <c:f>Sheet4!$B$1:$B$2</c:f>
              <c:strCache>
                <c:ptCount val="2"/>
                <c:pt idx="0">
                  <c:v>pH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Sheet4!$B$3:$B$15</c:f>
              <c:numCache>
                <c:formatCode>General</c:formatCode>
                <c:ptCount val="13"/>
                <c:pt idx="0">
                  <c:v>6.8</c:v>
                </c:pt>
                <c:pt idx="1">
                  <c:v>7.3</c:v>
                </c:pt>
                <c:pt idx="2">
                  <c:v>7.5</c:v>
                </c:pt>
                <c:pt idx="3">
                  <c:v>7.8</c:v>
                </c:pt>
                <c:pt idx="4">
                  <c:v>7.4</c:v>
                </c:pt>
                <c:pt idx="5">
                  <c:v>6.9</c:v>
                </c:pt>
                <c:pt idx="6">
                  <c:v>7.9</c:v>
                </c:pt>
                <c:pt idx="7">
                  <c:v>7.2</c:v>
                </c:pt>
                <c:pt idx="8">
                  <c:v>7.7</c:v>
                </c:pt>
                <c:pt idx="9">
                  <c:v>8</c:v>
                </c:pt>
                <c:pt idx="12">
                  <c:v>7.45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E-451C-B6B9-F05C20C8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068688"/>
        <c:axId val="1833078768"/>
        <c:axId val="0"/>
      </c:bar3DChart>
      <c:catAx>
        <c:axId val="183306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78768"/>
        <c:crosses val="autoZero"/>
        <c:auto val="1"/>
        <c:lblAlgn val="ctr"/>
        <c:lblOffset val="100"/>
        <c:noMultiLvlLbl val="0"/>
      </c:catAx>
      <c:valAx>
        <c:axId val="183307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6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Sheet4!$C$1:$C$2</c:f>
              <c:strCache>
                <c:ptCount val="2"/>
                <c:pt idx="0">
                  <c:v>Conductivity (micro;mho/cm)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Sheet4!$C$3:$C$15</c:f>
              <c:numCache>
                <c:formatCode>General</c:formatCode>
                <c:ptCount val="13"/>
                <c:pt idx="0">
                  <c:v>2380</c:v>
                </c:pt>
                <c:pt idx="1">
                  <c:v>2552</c:v>
                </c:pt>
                <c:pt idx="2">
                  <c:v>2458</c:v>
                </c:pt>
                <c:pt idx="3">
                  <c:v>1629</c:v>
                </c:pt>
                <c:pt idx="4">
                  <c:v>1786</c:v>
                </c:pt>
                <c:pt idx="5">
                  <c:v>2175</c:v>
                </c:pt>
                <c:pt idx="6">
                  <c:v>2273</c:v>
                </c:pt>
                <c:pt idx="7">
                  <c:v>1614</c:v>
                </c:pt>
                <c:pt idx="8">
                  <c:v>1368</c:v>
                </c:pt>
                <c:pt idx="9">
                  <c:v>1847</c:v>
                </c:pt>
                <c:pt idx="10">
                  <c:v>1498</c:v>
                </c:pt>
                <c:pt idx="11">
                  <c:v>1657</c:v>
                </c:pt>
                <c:pt idx="12">
                  <c:v>1936.4166666666667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7-4AA8-8D7C-08AAA22F5DB8}"/>
            </c:ext>
          </c:extLst>
        </c:ser>
        <c:ser>
          <c:idx val="1"/>
          <c:order val="1"/>
          <c:tx>
            <c:strRef>
              <c:f>Sheet4!$D$1:$D$2</c:f>
              <c:strCache>
                <c:ptCount val="2"/>
                <c:pt idx="0">
                  <c:v>Conductivity (micro;mho/cm)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Sheet4!$D$3:$D$15</c:f>
              <c:numCache>
                <c:formatCode>General</c:formatCode>
                <c:ptCount val="13"/>
                <c:pt idx="0">
                  <c:v>1813</c:v>
                </c:pt>
                <c:pt idx="1">
                  <c:v>1180</c:v>
                </c:pt>
                <c:pt idx="2">
                  <c:v>1537</c:v>
                </c:pt>
                <c:pt idx="3">
                  <c:v>1948</c:v>
                </c:pt>
                <c:pt idx="4">
                  <c:v>1910</c:v>
                </c:pt>
                <c:pt idx="5">
                  <c:v>1873</c:v>
                </c:pt>
                <c:pt idx="6">
                  <c:v>1996</c:v>
                </c:pt>
                <c:pt idx="7">
                  <c:v>2120</c:v>
                </c:pt>
                <c:pt idx="8">
                  <c:v>2200</c:v>
                </c:pt>
                <c:pt idx="9">
                  <c:v>2210</c:v>
                </c:pt>
                <c:pt idx="12">
                  <c:v>1878.7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97-4AA8-8D7C-08AAA22F5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096048"/>
        <c:axId val="1833071088"/>
        <c:axId val="0"/>
      </c:bar3DChart>
      <c:catAx>
        <c:axId val="183309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71088"/>
        <c:crosses val="autoZero"/>
        <c:auto val="1"/>
        <c:lblAlgn val="ctr"/>
        <c:lblOffset val="100"/>
        <c:noMultiLvlLbl val="0"/>
      </c:catAx>
      <c:valAx>
        <c:axId val="1833071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9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Sheet4!$E$1:$E$10</c:f>
              <c:strCache>
                <c:ptCount val="10"/>
                <c:pt idx="0">
                  <c:v>Dissolved O2 (mg/L)</c:v>
                </c:pt>
                <c:pt idx="1">
                  <c:v>Pre-monsoon</c:v>
                </c:pt>
                <c:pt idx="2">
                  <c:v>0.3(BDL)</c:v>
                </c:pt>
                <c:pt idx="3">
                  <c:v>0.3(BDL)</c:v>
                </c:pt>
                <c:pt idx="4">
                  <c:v>0.3(BDL)</c:v>
                </c:pt>
                <c:pt idx="5">
                  <c:v>0.3(BDL)</c:v>
                </c:pt>
                <c:pt idx="6">
                  <c:v>0.3(BDL)</c:v>
                </c:pt>
                <c:pt idx="7">
                  <c:v>0.3(BDL)</c:v>
                </c:pt>
                <c:pt idx="8">
                  <c:v>0.3(BDL)</c:v>
                </c:pt>
                <c:pt idx="9">
                  <c:v>0.5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Sheet4!$E$11:$E$28</c:f>
              <c:numCache>
                <c:formatCode>General</c:formatCode>
                <c:ptCount val="18"/>
                <c:pt idx="0">
                  <c:v>0</c:v>
                </c:pt>
                <c:pt idx="1">
                  <c:v>2.1</c:v>
                </c:pt>
                <c:pt idx="2">
                  <c:v>5.3</c:v>
                </c:pt>
                <c:pt idx="3">
                  <c:v>0</c:v>
                </c:pt>
                <c:pt idx="4">
                  <c:v>2.6333333333333333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C-4855-9696-234409CB7B0A}"/>
            </c:ext>
          </c:extLst>
        </c:ser>
        <c:ser>
          <c:idx val="1"/>
          <c:order val="1"/>
          <c:tx>
            <c:strRef>
              <c:f>Sheet4!$F$1:$F$10</c:f>
              <c:strCache>
                <c:ptCount val="10"/>
                <c:pt idx="0">
                  <c:v>Dissolved O2 (mg/L)</c:v>
                </c:pt>
                <c:pt idx="1">
                  <c:v>Post-monsoon</c:v>
                </c:pt>
                <c:pt idx="2">
                  <c:v>1.9</c:v>
                </c:pt>
                <c:pt idx="3">
                  <c:v>3.5</c:v>
                </c:pt>
                <c:pt idx="4">
                  <c:v>3</c:v>
                </c:pt>
                <c:pt idx="5">
                  <c:v>2</c:v>
                </c:pt>
                <c:pt idx="6">
                  <c:v>0.7</c:v>
                </c:pt>
                <c:pt idx="7">
                  <c:v>0.3(BDL)</c:v>
                </c:pt>
                <c:pt idx="8">
                  <c:v>2.2</c:v>
                </c:pt>
                <c:pt idx="9">
                  <c:v>0.3(BDL)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Sheet4!$F$11:$F$28</c:f>
              <c:numCache>
                <c:formatCode>General</c:formatCode>
                <c:ptCount val="18"/>
                <c:pt idx="0">
                  <c:v>0.8</c:v>
                </c:pt>
                <c:pt idx="1">
                  <c:v>0.8</c:v>
                </c:pt>
                <c:pt idx="4">
                  <c:v>1.8625000000000003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C-4855-9696-234409CB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123408"/>
        <c:axId val="1833098448"/>
        <c:axId val="0"/>
      </c:bar3DChart>
      <c:catAx>
        <c:axId val="183312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98448"/>
        <c:crosses val="autoZero"/>
        <c:auto val="1"/>
        <c:lblAlgn val="ctr"/>
        <c:lblOffset val="100"/>
        <c:noMultiLvlLbl val="0"/>
      </c:catAx>
      <c:valAx>
        <c:axId val="1833098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2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Sheet4!$G$1:$G$2</c:f>
              <c:strCache>
                <c:ptCount val="2"/>
                <c:pt idx="0">
                  <c:v>BOD (mg/L)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Sheet4!$G$3:$G$25</c:f>
              <c:numCache>
                <c:formatCode>General</c:formatCode>
                <c:ptCount val="23"/>
                <c:pt idx="0">
                  <c:v>36</c:v>
                </c:pt>
                <c:pt idx="1">
                  <c:v>51</c:v>
                </c:pt>
                <c:pt idx="2">
                  <c:v>62</c:v>
                </c:pt>
                <c:pt idx="3">
                  <c:v>31</c:v>
                </c:pt>
                <c:pt idx="4">
                  <c:v>38</c:v>
                </c:pt>
                <c:pt idx="5">
                  <c:v>48</c:v>
                </c:pt>
                <c:pt idx="6">
                  <c:v>75</c:v>
                </c:pt>
                <c:pt idx="7">
                  <c:v>39</c:v>
                </c:pt>
                <c:pt idx="8">
                  <c:v>25</c:v>
                </c:pt>
                <c:pt idx="9">
                  <c:v>28</c:v>
                </c:pt>
                <c:pt idx="10">
                  <c:v>5</c:v>
                </c:pt>
                <c:pt idx="11">
                  <c:v>39</c:v>
                </c:pt>
                <c:pt idx="12">
                  <c:v>39.75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1-4E3A-9A1A-A21DDDEF0EE9}"/>
            </c:ext>
          </c:extLst>
        </c:ser>
        <c:ser>
          <c:idx val="1"/>
          <c:order val="1"/>
          <c:tx>
            <c:strRef>
              <c:f>Sheet4!$H$1:$H$2</c:f>
              <c:strCache>
                <c:ptCount val="2"/>
                <c:pt idx="0">
                  <c:v>BOD (mg/L)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Sheet4!$H$3:$H$25</c:f>
              <c:numCache>
                <c:formatCode>General</c:formatCode>
                <c:ptCount val="23"/>
                <c:pt idx="0">
                  <c:v>29</c:v>
                </c:pt>
                <c:pt idx="1">
                  <c:v>10</c:v>
                </c:pt>
                <c:pt idx="2">
                  <c:v>15</c:v>
                </c:pt>
                <c:pt idx="3">
                  <c:v>18</c:v>
                </c:pt>
                <c:pt idx="4">
                  <c:v>41</c:v>
                </c:pt>
                <c:pt idx="5">
                  <c:v>79</c:v>
                </c:pt>
                <c:pt idx="6">
                  <c:v>27</c:v>
                </c:pt>
                <c:pt idx="7">
                  <c:v>7</c:v>
                </c:pt>
                <c:pt idx="8">
                  <c:v>45</c:v>
                </c:pt>
                <c:pt idx="9">
                  <c:v>34</c:v>
                </c:pt>
                <c:pt idx="12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1-4E3A-9A1A-A21DDDEF0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112848"/>
        <c:axId val="1833103728"/>
        <c:axId val="0"/>
      </c:bar3DChart>
      <c:catAx>
        <c:axId val="1833112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03728"/>
        <c:crosses val="autoZero"/>
        <c:auto val="1"/>
        <c:lblAlgn val="ctr"/>
        <c:lblOffset val="100"/>
        <c:noMultiLvlLbl val="0"/>
      </c:catAx>
      <c:valAx>
        <c:axId val="1833103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Sheet4!$I$1:$I$2</c:f>
              <c:strCache>
                <c:ptCount val="2"/>
                <c:pt idx="0">
                  <c:v>COD (mg/L)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Sheet4!$I$3:$I$22</c:f>
              <c:numCache>
                <c:formatCode>General</c:formatCode>
                <c:ptCount val="20"/>
                <c:pt idx="0">
                  <c:v>295</c:v>
                </c:pt>
                <c:pt idx="1">
                  <c:v>354</c:v>
                </c:pt>
                <c:pt idx="2">
                  <c:v>286</c:v>
                </c:pt>
                <c:pt idx="3">
                  <c:v>254</c:v>
                </c:pt>
                <c:pt idx="4">
                  <c:v>235</c:v>
                </c:pt>
                <c:pt idx="5">
                  <c:v>214</c:v>
                </c:pt>
                <c:pt idx="6">
                  <c:v>250</c:v>
                </c:pt>
                <c:pt idx="7">
                  <c:v>200</c:v>
                </c:pt>
                <c:pt idx="8">
                  <c:v>274</c:v>
                </c:pt>
                <c:pt idx="9">
                  <c:v>201</c:v>
                </c:pt>
                <c:pt idx="10">
                  <c:v>56</c:v>
                </c:pt>
                <c:pt idx="11">
                  <c:v>272</c:v>
                </c:pt>
                <c:pt idx="12">
                  <c:v>240.91666666666666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0-4E82-806D-4499FE437314}"/>
            </c:ext>
          </c:extLst>
        </c:ser>
        <c:ser>
          <c:idx val="1"/>
          <c:order val="1"/>
          <c:tx>
            <c:strRef>
              <c:f>Sheet4!$J$1:$J$2</c:f>
              <c:strCache>
                <c:ptCount val="2"/>
                <c:pt idx="0">
                  <c:v>COD (mg/L)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Sheet4!$J$3:$J$22</c:f>
              <c:numCache>
                <c:formatCode>General</c:formatCode>
                <c:ptCount val="20"/>
                <c:pt idx="0">
                  <c:v>196</c:v>
                </c:pt>
                <c:pt idx="1">
                  <c:v>92</c:v>
                </c:pt>
                <c:pt idx="2">
                  <c:v>105</c:v>
                </c:pt>
                <c:pt idx="3">
                  <c:v>117</c:v>
                </c:pt>
                <c:pt idx="4">
                  <c:v>204</c:v>
                </c:pt>
                <c:pt idx="5">
                  <c:v>372</c:v>
                </c:pt>
                <c:pt idx="6">
                  <c:v>170</c:v>
                </c:pt>
                <c:pt idx="7">
                  <c:v>332</c:v>
                </c:pt>
                <c:pt idx="8">
                  <c:v>256</c:v>
                </c:pt>
                <c:pt idx="9">
                  <c:v>240</c:v>
                </c:pt>
                <c:pt idx="12">
                  <c:v>208.4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0-4E82-806D-4499FE437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127248"/>
        <c:axId val="1833115248"/>
        <c:axId val="0"/>
      </c:bar3DChart>
      <c:catAx>
        <c:axId val="18331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5248"/>
        <c:crosses val="autoZero"/>
        <c:auto val="1"/>
        <c:lblAlgn val="ctr"/>
        <c:lblOffset val="100"/>
        <c:noMultiLvlLbl val="0"/>
      </c:catAx>
      <c:valAx>
        <c:axId val="1833115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2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Sheet4!$K$1:$K$2</c:f>
              <c:strCache>
                <c:ptCount val="2"/>
                <c:pt idx="0">
                  <c:v>Total Dissolved Solids (mg/L)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Sheet4!$K$3:$K$22</c:f>
              <c:numCache>
                <c:formatCode>General</c:formatCode>
                <c:ptCount val="20"/>
                <c:pt idx="0">
                  <c:v>1622</c:v>
                </c:pt>
                <c:pt idx="1">
                  <c:v>1736</c:v>
                </c:pt>
                <c:pt idx="2">
                  <c:v>1458</c:v>
                </c:pt>
                <c:pt idx="3">
                  <c:v>1269</c:v>
                </c:pt>
                <c:pt idx="4">
                  <c:v>1384</c:v>
                </c:pt>
                <c:pt idx="5">
                  <c:v>1057</c:v>
                </c:pt>
                <c:pt idx="6">
                  <c:v>1548</c:v>
                </c:pt>
                <c:pt idx="7">
                  <c:v>1064</c:v>
                </c:pt>
                <c:pt idx="8">
                  <c:v>936</c:v>
                </c:pt>
                <c:pt idx="9">
                  <c:v>1256</c:v>
                </c:pt>
                <c:pt idx="10">
                  <c:v>1020</c:v>
                </c:pt>
                <c:pt idx="11">
                  <c:v>1124</c:v>
                </c:pt>
                <c:pt idx="12">
                  <c:v>1289.5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0-4F99-967D-11D28C988820}"/>
            </c:ext>
          </c:extLst>
        </c:ser>
        <c:ser>
          <c:idx val="1"/>
          <c:order val="1"/>
          <c:tx>
            <c:strRef>
              <c:f>Sheet4!$L$1:$L$2</c:f>
              <c:strCache>
                <c:ptCount val="2"/>
                <c:pt idx="0">
                  <c:v>Total Dissolved Solids (mg/L)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Sheet4!$L$3:$L$22</c:f>
              <c:numCache>
                <c:formatCode>General</c:formatCode>
                <c:ptCount val="20"/>
                <c:pt idx="0">
                  <c:v>1232</c:v>
                </c:pt>
                <c:pt idx="1">
                  <c:v>810</c:v>
                </c:pt>
                <c:pt idx="2">
                  <c:v>984</c:v>
                </c:pt>
                <c:pt idx="3">
                  <c:v>1328</c:v>
                </c:pt>
                <c:pt idx="4">
                  <c:v>1308</c:v>
                </c:pt>
                <c:pt idx="5">
                  <c:v>1284</c:v>
                </c:pt>
                <c:pt idx="6">
                  <c:v>1357</c:v>
                </c:pt>
                <c:pt idx="7">
                  <c:v>1456</c:v>
                </c:pt>
                <c:pt idx="8">
                  <c:v>1490</c:v>
                </c:pt>
                <c:pt idx="9">
                  <c:v>1498</c:v>
                </c:pt>
                <c:pt idx="12">
                  <c:v>1274.7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0-4F99-967D-11D28C98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8118032"/>
        <c:axId val="1508112272"/>
        <c:axId val="0"/>
      </c:bar3DChart>
      <c:catAx>
        <c:axId val="150811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12272"/>
        <c:crosses val="autoZero"/>
        <c:auto val="1"/>
        <c:lblAlgn val="ctr"/>
        <c:lblOffset val="100"/>
        <c:noMultiLvlLbl val="0"/>
      </c:catAx>
      <c:valAx>
        <c:axId val="1508112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1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Fecal Coliform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Sheet4!$M$1:$M$2</c:f>
              <c:strCache>
                <c:ptCount val="2"/>
                <c:pt idx="0">
                  <c:v>Fecal coliform (MPN/100ml)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Sheet4!$M$3:$M$21</c:f>
              <c:numCache>
                <c:formatCode>General</c:formatCode>
                <c:ptCount val="19"/>
                <c:pt idx="0">
                  <c:v>31000</c:v>
                </c:pt>
                <c:pt idx="1">
                  <c:v>140000</c:v>
                </c:pt>
                <c:pt idx="2">
                  <c:v>115000</c:v>
                </c:pt>
                <c:pt idx="3">
                  <c:v>80000</c:v>
                </c:pt>
                <c:pt idx="4">
                  <c:v>7000</c:v>
                </c:pt>
                <c:pt idx="5">
                  <c:v>3000</c:v>
                </c:pt>
                <c:pt idx="6">
                  <c:v>1400</c:v>
                </c:pt>
                <c:pt idx="7">
                  <c:v>17000</c:v>
                </c:pt>
                <c:pt idx="8">
                  <c:v>1100</c:v>
                </c:pt>
                <c:pt idx="9">
                  <c:v>21000</c:v>
                </c:pt>
                <c:pt idx="10">
                  <c:v>210</c:v>
                </c:pt>
                <c:pt idx="11">
                  <c:v>21000</c:v>
                </c:pt>
                <c:pt idx="12">
                  <c:v>36475.833333333336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1-4437-A39B-0BBFC15DA595}"/>
            </c:ext>
          </c:extLst>
        </c:ser>
        <c:ser>
          <c:idx val="1"/>
          <c:order val="1"/>
          <c:tx>
            <c:strRef>
              <c:f>Sheet4!$N$1:$N$2</c:f>
              <c:strCache>
                <c:ptCount val="2"/>
                <c:pt idx="0">
                  <c:v>Fecal coliform (MPN/100ml)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Sheet4!$N$3:$N$21</c:f>
              <c:numCache>
                <c:formatCode>General</c:formatCode>
                <c:ptCount val="19"/>
                <c:pt idx="0">
                  <c:v>3100</c:v>
                </c:pt>
                <c:pt idx="1">
                  <c:v>4300</c:v>
                </c:pt>
                <c:pt idx="2">
                  <c:v>82000</c:v>
                </c:pt>
                <c:pt idx="3">
                  <c:v>230000</c:v>
                </c:pt>
                <c:pt idx="4">
                  <c:v>110000</c:v>
                </c:pt>
                <c:pt idx="5">
                  <c:v>1100000</c:v>
                </c:pt>
                <c:pt idx="6">
                  <c:v>11000</c:v>
                </c:pt>
                <c:pt idx="7">
                  <c:v>14000</c:v>
                </c:pt>
                <c:pt idx="8">
                  <c:v>2100</c:v>
                </c:pt>
                <c:pt idx="9">
                  <c:v>310</c:v>
                </c:pt>
                <c:pt idx="12">
                  <c:v>155681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1-4437-A39B-0BBFC15DA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119088"/>
        <c:axId val="1833110928"/>
        <c:axId val="0"/>
      </c:bar3DChart>
      <c:catAx>
        <c:axId val="183311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0928"/>
        <c:crosses val="autoZero"/>
        <c:auto val="1"/>
        <c:lblAlgn val="ctr"/>
        <c:lblOffset val="100"/>
        <c:noMultiLvlLbl val="0"/>
      </c:catAx>
      <c:valAx>
        <c:axId val="1833110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Fecal Coliform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Coliform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Sheet4!$O$1:$O$2</c:f>
              <c:strCache>
                <c:ptCount val="2"/>
                <c:pt idx="0">
                  <c:v>Total coliform (MPN/100ml)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Sheet4!$O$3:$O$21</c:f>
              <c:numCache>
                <c:formatCode>General</c:formatCode>
                <c:ptCount val="19"/>
                <c:pt idx="0">
                  <c:v>70000</c:v>
                </c:pt>
                <c:pt idx="1">
                  <c:v>490000</c:v>
                </c:pt>
                <c:pt idx="2">
                  <c:v>285000</c:v>
                </c:pt>
                <c:pt idx="3">
                  <c:v>130000</c:v>
                </c:pt>
                <c:pt idx="4">
                  <c:v>30000</c:v>
                </c:pt>
                <c:pt idx="5">
                  <c:v>10000</c:v>
                </c:pt>
                <c:pt idx="6">
                  <c:v>4900</c:v>
                </c:pt>
                <c:pt idx="7">
                  <c:v>48000</c:v>
                </c:pt>
                <c:pt idx="8">
                  <c:v>4900</c:v>
                </c:pt>
                <c:pt idx="9">
                  <c:v>70000</c:v>
                </c:pt>
                <c:pt idx="10">
                  <c:v>1200</c:v>
                </c:pt>
                <c:pt idx="11">
                  <c:v>170000</c:v>
                </c:pt>
                <c:pt idx="12">
                  <c:v>109500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5-4408-A670-56FEB8C4C5C8}"/>
            </c:ext>
          </c:extLst>
        </c:ser>
        <c:ser>
          <c:idx val="1"/>
          <c:order val="1"/>
          <c:tx>
            <c:strRef>
              <c:f>Sheet4!$P$1:$P$2</c:f>
              <c:strCache>
                <c:ptCount val="2"/>
                <c:pt idx="0">
                  <c:v>Total coliform (MPN/100ml)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Sheet4!$P$3:$P$21</c:f>
              <c:numCache>
                <c:formatCode>General</c:formatCode>
                <c:ptCount val="19"/>
                <c:pt idx="0">
                  <c:v>35000</c:v>
                </c:pt>
                <c:pt idx="1">
                  <c:v>92000</c:v>
                </c:pt>
                <c:pt idx="2">
                  <c:v>150000</c:v>
                </c:pt>
                <c:pt idx="3">
                  <c:v>2400000</c:v>
                </c:pt>
                <c:pt idx="4">
                  <c:v>490000</c:v>
                </c:pt>
                <c:pt idx="5">
                  <c:v>4900000</c:v>
                </c:pt>
                <c:pt idx="6">
                  <c:v>46000</c:v>
                </c:pt>
                <c:pt idx="7">
                  <c:v>70000</c:v>
                </c:pt>
                <c:pt idx="8">
                  <c:v>17000</c:v>
                </c:pt>
                <c:pt idx="9">
                  <c:v>2800</c:v>
                </c:pt>
                <c:pt idx="12">
                  <c:v>820280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5-4408-A670-56FEB8C4C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088848"/>
        <c:axId val="1833089808"/>
        <c:axId val="0"/>
      </c:bar3DChart>
      <c:catAx>
        <c:axId val="183308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89808"/>
        <c:crosses val="autoZero"/>
        <c:auto val="1"/>
        <c:lblAlgn val="ctr"/>
        <c:lblOffset val="100"/>
        <c:noMultiLvlLbl val="0"/>
      </c:catAx>
      <c:valAx>
        <c:axId val="1833089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Total Coliform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8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Sheet4!$Q$1:$Q$2</c:f>
              <c:strCache>
                <c:ptCount val="2"/>
                <c:pt idx="0">
                  <c:v>Nitrate (N) (mg/L)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Sheet4!$Q$3:$Q$23</c:f>
              <c:numCache>
                <c:formatCode>General</c:formatCode>
                <c:ptCount val="21"/>
                <c:pt idx="0">
                  <c:v>7.6</c:v>
                </c:pt>
                <c:pt idx="1">
                  <c:v>11</c:v>
                </c:pt>
                <c:pt idx="2">
                  <c:v>8.6999999999999993</c:v>
                </c:pt>
                <c:pt idx="3">
                  <c:v>5.6</c:v>
                </c:pt>
                <c:pt idx="4">
                  <c:v>8.6999999999999993</c:v>
                </c:pt>
                <c:pt idx="5">
                  <c:v>6.5</c:v>
                </c:pt>
                <c:pt idx="6">
                  <c:v>9.9</c:v>
                </c:pt>
                <c:pt idx="7">
                  <c:v>2.84</c:v>
                </c:pt>
                <c:pt idx="8">
                  <c:v>5.25</c:v>
                </c:pt>
                <c:pt idx="9">
                  <c:v>5.4</c:v>
                </c:pt>
                <c:pt idx="10">
                  <c:v>5.8</c:v>
                </c:pt>
                <c:pt idx="11">
                  <c:v>5.9</c:v>
                </c:pt>
                <c:pt idx="12">
                  <c:v>6.9325000000000001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3-4D9D-923C-B2D709221896}"/>
            </c:ext>
          </c:extLst>
        </c:ser>
        <c:ser>
          <c:idx val="1"/>
          <c:order val="1"/>
          <c:tx>
            <c:strRef>
              <c:f>Sheet4!$R$1:$R$2</c:f>
              <c:strCache>
                <c:ptCount val="2"/>
                <c:pt idx="0">
                  <c:v>Nitrate (N) (mg/L)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Sheet4!$R$3:$R$23</c:f>
              <c:numCache>
                <c:formatCode>General</c:formatCode>
                <c:ptCount val="21"/>
                <c:pt idx="0">
                  <c:v>5</c:v>
                </c:pt>
                <c:pt idx="1">
                  <c:v>5.6</c:v>
                </c:pt>
                <c:pt idx="2">
                  <c:v>6.9</c:v>
                </c:pt>
                <c:pt idx="3">
                  <c:v>8.6</c:v>
                </c:pt>
                <c:pt idx="4">
                  <c:v>5.9</c:v>
                </c:pt>
                <c:pt idx="5">
                  <c:v>4.7</c:v>
                </c:pt>
                <c:pt idx="6">
                  <c:v>0.7</c:v>
                </c:pt>
                <c:pt idx="7">
                  <c:v>9.5</c:v>
                </c:pt>
                <c:pt idx="8">
                  <c:v>8.4</c:v>
                </c:pt>
                <c:pt idx="9">
                  <c:v>8.9</c:v>
                </c:pt>
                <c:pt idx="12">
                  <c:v>6.42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3-4D9D-923C-B2D709221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33120528"/>
        <c:axId val="1833111888"/>
        <c:axId val="0"/>
      </c:bar3DChart>
      <c:catAx>
        <c:axId val="183312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11888"/>
        <c:crosses val="autoZero"/>
        <c:auto val="1"/>
        <c:lblAlgn val="ctr"/>
        <c:lblOffset val="100"/>
        <c:noMultiLvlLbl val="0"/>
      </c:catAx>
      <c:valAx>
        <c:axId val="1833111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Nitrate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1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Sheet4!$S$1:$S$2</c:f>
              <c:strCache>
                <c:ptCount val="2"/>
                <c:pt idx="0">
                  <c:v>Turbidity (mg/L)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Sheet4!$S$3:$S$17</c:f>
              <c:numCache>
                <c:formatCode>General</c:formatCode>
                <c:ptCount val="15"/>
                <c:pt idx="0">
                  <c:v>26.9</c:v>
                </c:pt>
                <c:pt idx="1">
                  <c:v>14</c:v>
                </c:pt>
                <c:pt idx="2">
                  <c:v>19</c:v>
                </c:pt>
                <c:pt idx="3">
                  <c:v>20</c:v>
                </c:pt>
                <c:pt idx="4">
                  <c:v>9</c:v>
                </c:pt>
                <c:pt idx="5">
                  <c:v>24</c:v>
                </c:pt>
                <c:pt idx="6">
                  <c:v>32</c:v>
                </c:pt>
                <c:pt idx="7">
                  <c:v>3.9</c:v>
                </c:pt>
                <c:pt idx="8">
                  <c:v>15.8</c:v>
                </c:pt>
                <c:pt idx="9">
                  <c:v>7.2</c:v>
                </c:pt>
                <c:pt idx="10">
                  <c:v>22.3</c:v>
                </c:pt>
                <c:pt idx="11">
                  <c:v>30.6</c:v>
                </c:pt>
                <c:pt idx="12">
                  <c:v>18.725000000000001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1-45FD-A14A-C29253E40930}"/>
            </c:ext>
          </c:extLst>
        </c:ser>
        <c:ser>
          <c:idx val="1"/>
          <c:order val="1"/>
          <c:tx>
            <c:strRef>
              <c:f>Sheet4!$T$1:$T$2</c:f>
              <c:strCache>
                <c:ptCount val="2"/>
                <c:pt idx="0">
                  <c:v>Turbidity (mg/L)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Sheet4!$T$3:$T$17</c:f>
              <c:numCache>
                <c:formatCode>General</c:formatCode>
                <c:ptCount val="15"/>
                <c:pt idx="0">
                  <c:v>20.3</c:v>
                </c:pt>
                <c:pt idx="1">
                  <c:v>12.8</c:v>
                </c:pt>
                <c:pt idx="2">
                  <c:v>10.5</c:v>
                </c:pt>
                <c:pt idx="3">
                  <c:v>9.8000000000000007</c:v>
                </c:pt>
                <c:pt idx="4">
                  <c:v>60</c:v>
                </c:pt>
                <c:pt idx="5">
                  <c:v>36.4</c:v>
                </c:pt>
                <c:pt idx="6">
                  <c:v>33</c:v>
                </c:pt>
                <c:pt idx="7">
                  <c:v>38</c:v>
                </c:pt>
                <c:pt idx="8">
                  <c:v>13.9</c:v>
                </c:pt>
                <c:pt idx="9">
                  <c:v>6.2</c:v>
                </c:pt>
                <c:pt idx="12">
                  <c:v>24.09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1-45FD-A14A-C29253E40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2896608"/>
        <c:axId val="1202899968"/>
        <c:axId val="0"/>
      </c:bar3DChart>
      <c:catAx>
        <c:axId val="1202896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Sampling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99968"/>
        <c:crosses val="autoZero"/>
        <c:auto val="1"/>
        <c:lblAlgn val="ctr"/>
        <c:lblOffset val="100"/>
        <c:noMultiLvlLbl val="0"/>
      </c:catAx>
      <c:valAx>
        <c:axId val="1202899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89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WAWQI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Sheet6!$K$2:$K$3</c:f>
              <c:strCache>
                <c:ptCount val="2"/>
                <c:pt idx="0">
                  <c:v>WAWQI</c:v>
                </c:pt>
                <c:pt idx="1">
                  <c:v>Pre-monsoon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Sheet6!$K$4:$K$13</c:f>
              <c:numCache>
                <c:formatCode>General</c:formatCode>
                <c:ptCount val="10"/>
                <c:pt idx="0">
                  <c:v>222.79</c:v>
                </c:pt>
                <c:pt idx="1">
                  <c:v>216.8</c:v>
                </c:pt>
                <c:pt idx="2">
                  <c:v>221.5</c:v>
                </c:pt>
                <c:pt idx="3">
                  <c:v>221.62</c:v>
                </c:pt>
                <c:pt idx="4">
                  <c:v>196.74</c:v>
                </c:pt>
                <c:pt idx="5">
                  <c:v>227.6</c:v>
                </c:pt>
                <c:pt idx="6">
                  <c:v>290.63</c:v>
                </c:pt>
                <c:pt idx="7">
                  <c:v>61.38</c:v>
                </c:pt>
                <c:pt idx="8">
                  <c:v>77.42</c:v>
                </c:pt>
                <c:pt idx="9">
                  <c:v>84.91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0-4B6A-9279-C789D63A1427}"/>
            </c:ext>
          </c:extLst>
        </c:ser>
        <c:ser>
          <c:idx val="1"/>
          <c:order val="1"/>
          <c:tx>
            <c:strRef>
              <c:f>Sheet6!$L$2:$L$3</c:f>
              <c:strCache>
                <c:ptCount val="2"/>
                <c:pt idx="0">
                  <c:v>WAWQI</c:v>
                </c:pt>
                <c:pt idx="1">
                  <c:v>Post-monsoon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Sheet6!$L$4:$L$13</c:f>
              <c:numCache>
                <c:formatCode>General</c:formatCode>
                <c:ptCount val="10"/>
                <c:pt idx="0">
                  <c:v>530.79999999999995</c:v>
                </c:pt>
                <c:pt idx="1">
                  <c:v>511.2</c:v>
                </c:pt>
                <c:pt idx="2">
                  <c:v>697.4</c:v>
                </c:pt>
                <c:pt idx="3">
                  <c:v>1112.5999999999999</c:v>
                </c:pt>
                <c:pt idx="4">
                  <c:v>1016.3</c:v>
                </c:pt>
                <c:pt idx="5">
                  <c:v>1323.8</c:v>
                </c:pt>
                <c:pt idx="6">
                  <c:v>674.1</c:v>
                </c:pt>
                <c:pt idx="7">
                  <c:v>1139.2</c:v>
                </c:pt>
                <c:pt idx="8">
                  <c:v>846.5</c:v>
                </c:pt>
                <c:pt idx="9">
                  <c:v>774.3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0-4B6A-9279-C789D63A1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070031"/>
        <c:axId val="979067151"/>
      </c:barChart>
      <c:catAx>
        <c:axId val="979070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67151"/>
        <c:crosses val="autoZero"/>
        <c:auto val="1"/>
        <c:lblAlgn val="ctr"/>
        <c:lblOffset val="100"/>
        <c:noMultiLvlLbl val="0"/>
      </c:catAx>
      <c:valAx>
        <c:axId val="97906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7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6627</xdr:colOff>
      <xdr:row>15</xdr:row>
      <xdr:rowOff>29817</xdr:rowOff>
    </xdr:from>
    <xdr:to>
      <xdr:col>3</xdr:col>
      <xdr:colOff>689114</xdr:colOff>
      <xdr:row>26</xdr:row>
      <xdr:rowOff>159027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6E7140-4EB2-1634-C372-C5C67D5CF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675861</xdr:colOff>
      <xdr:row>15</xdr:row>
      <xdr:rowOff>29817</xdr:rowOff>
    </xdr:from>
    <xdr:to>
      <xdr:col>8</xdr:col>
      <xdr:colOff>238539</xdr:colOff>
      <xdr:row>26</xdr:row>
      <xdr:rowOff>172279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D5309B-12A8-11E2-D10B-BADC89375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238540</xdr:colOff>
      <xdr:row>15</xdr:row>
      <xdr:rowOff>36444</xdr:rowOff>
    </xdr:from>
    <xdr:to>
      <xdr:col>11</xdr:col>
      <xdr:colOff>894522</xdr:colOff>
      <xdr:row>27</xdr:row>
      <xdr:rowOff>33131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26C1BB-39B2-10B0-4648-73D114E31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801758</xdr:colOff>
      <xdr:row>15</xdr:row>
      <xdr:rowOff>23190</xdr:rowOff>
    </xdr:from>
    <xdr:to>
      <xdr:col>15</xdr:col>
      <xdr:colOff>53009</xdr:colOff>
      <xdr:row>26</xdr:row>
      <xdr:rowOff>112644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F9EAA31-2D3D-3F69-12B9-17D0D04C9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125895</xdr:colOff>
      <xdr:row>15</xdr:row>
      <xdr:rowOff>13252</xdr:rowOff>
    </xdr:from>
    <xdr:to>
      <xdr:col>18</xdr:col>
      <xdr:colOff>801756</xdr:colOff>
      <xdr:row>26</xdr:row>
      <xdr:rowOff>92766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2E3CE05-84F4-B542-1C24-8F46C7BAD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27</xdr:row>
      <xdr:rowOff>16564</xdr:rowOff>
    </xdr:from>
    <xdr:to>
      <xdr:col>3</xdr:col>
      <xdr:colOff>848139</xdr:colOff>
      <xdr:row>38</xdr:row>
      <xdr:rowOff>152399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6BEB009-6E44-7821-E79E-F16D89703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868018</xdr:colOff>
      <xdr:row>27</xdr:row>
      <xdr:rowOff>43070</xdr:rowOff>
    </xdr:from>
    <xdr:to>
      <xdr:col>8</xdr:col>
      <xdr:colOff>496957</xdr:colOff>
      <xdr:row>38</xdr:row>
      <xdr:rowOff>178904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1DBF017-3334-52CC-B4D1-92D64CCB7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503582</xdr:colOff>
      <xdr:row>27</xdr:row>
      <xdr:rowOff>56322</xdr:rowOff>
    </xdr:from>
    <xdr:to>
      <xdr:col>12</xdr:col>
      <xdr:colOff>662608</xdr:colOff>
      <xdr:row>39</xdr:row>
      <xdr:rowOff>79513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9C144A7-C635-1AB0-A76B-821D05BBE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715617</xdr:colOff>
      <xdr:row>27</xdr:row>
      <xdr:rowOff>49695</xdr:rowOff>
    </xdr:from>
    <xdr:to>
      <xdr:col>16</xdr:col>
      <xdr:colOff>86139</xdr:colOff>
      <xdr:row>39</xdr:row>
      <xdr:rowOff>66261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485389D-82D0-4146-BE32-9E979E167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510209</xdr:colOff>
      <xdr:row>27</xdr:row>
      <xdr:rowOff>43069</xdr:rowOff>
    </xdr:from>
    <xdr:to>
      <xdr:col>20</xdr:col>
      <xdr:colOff>351183</xdr:colOff>
      <xdr:row>38</xdr:row>
      <xdr:rowOff>125895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85F937E-6124-6953-69BF-CD0BA3837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14</xdr:row>
      <xdr:rowOff>118110</xdr:rowOff>
    </xdr:from>
    <xdr:to>
      <xdr:col>15</xdr:col>
      <xdr:colOff>0</xdr:colOff>
      <xdr:row>29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E18D10-D91B-B10E-9D3D-C4D67E4B6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9"/>
  <sheetViews>
    <sheetView workbookViewId="0">
      <selection activeCell="P2" sqref="P1:P1048576"/>
    </sheetView>
  </sheetViews>
  <sheetFormatPr defaultRowHeight="14.4" x14ac:dyDescent="0.3"/>
  <cols>
    <col min="1" max="1" width="11.33203125" customWidth="1"/>
    <col min="2" max="2" width="15.88671875" customWidth="1"/>
    <col min="3" max="3" width="52.6640625" customWidth="1"/>
    <col min="4" max="4" width="13.5546875" customWidth="1"/>
    <col min="5" max="5" width="11" customWidth="1"/>
    <col min="6" max="6" width="7.109375" customWidth="1"/>
    <col min="7" max="7" width="15.5546875" customWidth="1"/>
    <col min="13" max="13" width="14" customWidth="1"/>
    <col min="14" max="14" width="10.77734375" customWidth="1"/>
    <col min="16" max="16" width="11.77734375" customWidth="1"/>
    <col min="17" max="17" width="10.88671875" customWidth="1"/>
    <col min="18" max="18" width="11.33203125" customWidth="1"/>
    <col min="19" max="19" width="10.77734375" customWidth="1"/>
    <col min="22" max="22" width="13.88671875" customWidth="1"/>
    <col min="23" max="23" width="10.44140625" customWidth="1"/>
    <col min="30" max="30" width="10.77734375" customWidth="1"/>
    <col min="31" max="31" width="11.44140625" customWidth="1"/>
    <col min="32" max="32" width="11.109375" customWidth="1"/>
    <col min="34" max="34" width="11.109375" customWidth="1"/>
    <col min="38" max="38" width="11" customWidth="1"/>
    <col min="39" max="39" width="14" customWidth="1"/>
    <col min="40" max="40" width="14.88671875" customWidth="1"/>
    <col min="41" max="41" width="16.21875" customWidth="1"/>
    <col min="42" max="42" width="11.33203125" customWidth="1"/>
    <col min="46" max="46" width="12.5546875" customWidth="1"/>
  </cols>
  <sheetData>
    <row r="1" spans="1:46" ht="39.6" customHeight="1" x14ac:dyDescent="0.45">
      <c r="A1" s="21" t="s">
        <v>34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 spans="1:46" s="2" customFormat="1" ht="62.4" x14ac:dyDescent="0.3">
      <c r="A2" s="1" t="s">
        <v>0</v>
      </c>
      <c r="B2" s="1" t="s">
        <v>1</v>
      </c>
      <c r="C2" s="1" t="s">
        <v>2</v>
      </c>
      <c r="D2" s="1" t="s">
        <v>55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10</v>
      </c>
      <c r="J2" s="1" t="s">
        <v>61</v>
      </c>
      <c r="K2" s="1" t="s">
        <v>7</v>
      </c>
      <c r="L2" s="1" t="s">
        <v>8</v>
      </c>
      <c r="M2" s="1" t="s">
        <v>9</v>
      </c>
      <c r="N2" s="1" t="s">
        <v>12</v>
      </c>
      <c r="O2" s="1" t="s">
        <v>11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59</v>
      </c>
      <c r="Z2" s="1" t="s">
        <v>22</v>
      </c>
      <c r="AA2" s="1" t="s">
        <v>60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</row>
    <row r="3" spans="1:46" s="3" customFormat="1" ht="19.95" customHeight="1" x14ac:dyDescent="0.3">
      <c r="A3" s="4">
        <v>44927</v>
      </c>
      <c r="B3" s="3" t="s">
        <v>35</v>
      </c>
      <c r="C3" s="3" t="s">
        <v>36</v>
      </c>
      <c r="D3" s="3" t="s">
        <v>43</v>
      </c>
      <c r="E3" s="3" t="s">
        <v>37</v>
      </c>
      <c r="F3" s="3">
        <v>7.8</v>
      </c>
      <c r="G3" s="3">
        <v>1938</v>
      </c>
      <c r="H3" s="3">
        <v>98</v>
      </c>
      <c r="I3" s="3">
        <v>7.4</v>
      </c>
      <c r="K3" s="3">
        <v>140000</v>
      </c>
      <c r="L3" s="3">
        <v>270000</v>
      </c>
      <c r="M3" s="3" t="s">
        <v>45</v>
      </c>
      <c r="N3" s="3" t="s">
        <v>39</v>
      </c>
      <c r="O3" s="3">
        <v>444</v>
      </c>
      <c r="P3" s="3">
        <v>16.399999999999999</v>
      </c>
      <c r="Q3" s="3" t="s">
        <v>40</v>
      </c>
      <c r="R3" s="3">
        <v>444</v>
      </c>
      <c r="S3" s="3">
        <v>328</v>
      </c>
      <c r="T3" s="3">
        <v>356</v>
      </c>
      <c r="U3" s="3">
        <v>26.3</v>
      </c>
      <c r="V3" s="3">
        <v>21.2</v>
      </c>
      <c r="W3" s="3">
        <v>528</v>
      </c>
      <c r="X3" s="3">
        <v>268</v>
      </c>
      <c r="Z3" s="3">
        <v>260</v>
      </c>
      <c r="AB3" s="3">
        <v>79</v>
      </c>
      <c r="AC3" s="3">
        <v>162</v>
      </c>
      <c r="AD3" s="3">
        <v>1354</v>
      </c>
      <c r="AE3" s="3">
        <v>18</v>
      </c>
      <c r="AF3" s="3">
        <v>1.24</v>
      </c>
      <c r="AG3" s="3" t="s">
        <v>42</v>
      </c>
      <c r="AH3" s="3">
        <v>39</v>
      </c>
      <c r="AI3" s="3">
        <v>0.39</v>
      </c>
      <c r="AJ3" s="3">
        <v>38</v>
      </c>
      <c r="AK3" s="3">
        <v>3.1</v>
      </c>
      <c r="AL3" s="3">
        <v>3.57</v>
      </c>
    </row>
    <row r="4" spans="1:46" s="3" customFormat="1" ht="19.95" customHeight="1" x14ac:dyDescent="0.3">
      <c r="A4" s="4">
        <v>44958</v>
      </c>
      <c r="B4" s="3" t="s">
        <v>35</v>
      </c>
      <c r="C4" s="3" t="s">
        <v>36</v>
      </c>
      <c r="D4" s="3">
        <v>24</v>
      </c>
      <c r="E4" s="3" t="s">
        <v>37</v>
      </c>
      <c r="F4" s="3">
        <v>7.4</v>
      </c>
      <c r="G4" s="3">
        <v>2380</v>
      </c>
      <c r="H4" s="3">
        <v>36</v>
      </c>
      <c r="I4" s="3">
        <v>7.6</v>
      </c>
      <c r="K4" s="3">
        <v>31000</v>
      </c>
      <c r="L4" s="3">
        <v>70000</v>
      </c>
      <c r="M4" s="3" t="s">
        <v>45</v>
      </c>
      <c r="N4" s="3" t="s">
        <v>39</v>
      </c>
      <c r="O4" s="3">
        <v>580</v>
      </c>
      <c r="P4" s="3">
        <v>26.9</v>
      </c>
      <c r="Q4" s="3" t="s">
        <v>40</v>
      </c>
      <c r="R4" s="3">
        <v>580</v>
      </c>
      <c r="S4" s="3">
        <v>464</v>
      </c>
      <c r="T4" s="3">
        <v>295</v>
      </c>
      <c r="U4" s="3">
        <v>27.8</v>
      </c>
      <c r="V4" s="3">
        <v>21.4</v>
      </c>
      <c r="W4" s="3">
        <v>636</v>
      </c>
      <c r="X4" s="3">
        <v>324</v>
      </c>
      <c r="Z4" s="3">
        <v>312</v>
      </c>
      <c r="AB4" s="3">
        <v>35</v>
      </c>
      <c r="AC4" s="3">
        <v>273</v>
      </c>
      <c r="AD4" s="3">
        <v>1622</v>
      </c>
      <c r="AE4" s="3">
        <v>36</v>
      </c>
      <c r="AF4" s="3">
        <v>5.3</v>
      </c>
      <c r="AG4" s="3" t="s">
        <v>42</v>
      </c>
      <c r="AH4" s="3">
        <v>35</v>
      </c>
      <c r="AI4" s="3">
        <v>0.48</v>
      </c>
      <c r="AJ4" s="3">
        <v>46</v>
      </c>
      <c r="AK4" s="3">
        <v>4.7</v>
      </c>
      <c r="AL4" s="3">
        <v>14.7</v>
      </c>
    </row>
    <row r="5" spans="1:46" s="3" customFormat="1" ht="19.95" customHeight="1" x14ac:dyDescent="0.3">
      <c r="A5" s="4">
        <v>44986</v>
      </c>
      <c r="B5" s="3" t="s">
        <v>35</v>
      </c>
      <c r="C5" s="3" t="s">
        <v>36</v>
      </c>
      <c r="D5" s="3">
        <v>24</v>
      </c>
      <c r="E5" s="3" t="s">
        <v>37</v>
      </c>
      <c r="F5" s="3">
        <v>7.19</v>
      </c>
      <c r="G5" s="3">
        <v>2552</v>
      </c>
      <c r="H5" s="3">
        <v>51</v>
      </c>
      <c r="I5" s="3">
        <v>11</v>
      </c>
      <c r="K5" s="3">
        <v>140000</v>
      </c>
      <c r="L5" s="3">
        <v>490000</v>
      </c>
      <c r="M5" s="3" t="s">
        <v>45</v>
      </c>
      <c r="N5" s="3" t="s">
        <v>39</v>
      </c>
      <c r="O5" s="3">
        <v>608</v>
      </c>
      <c r="P5" s="3">
        <v>14</v>
      </c>
      <c r="Q5" s="3" t="s">
        <v>40</v>
      </c>
      <c r="R5" s="3">
        <v>608</v>
      </c>
      <c r="S5" s="3">
        <v>448</v>
      </c>
      <c r="T5" s="3">
        <v>354</v>
      </c>
      <c r="U5" s="3">
        <v>42</v>
      </c>
      <c r="V5" s="3">
        <v>32</v>
      </c>
      <c r="W5" s="3">
        <v>708</v>
      </c>
      <c r="X5" s="3">
        <v>360</v>
      </c>
      <c r="Y5" s="3">
        <v>144</v>
      </c>
      <c r="Z5" s="3">
        <v>348</v>
      </c>
      <c r="AA5" s="3">
        <v>85</v>
      </c>
      <c r="AB5" s="3">
        <v>34</v>
      </c>
      <c r="AC5" s="3">
        <v>236</v>
      </c>
      <c r="AD5" s="3">
        <v>1736</v>
      </c>
      <c r="AE5" s="3">
        <v>150</v>
      </c>
      <c r="AF5" s="3">
        <v>0.96</v>
      </c>
      <c r="AG5" s="3" t="s">
        <v>42</v>
      </c>
      <c r="AH5" s="3">
        <v>28</v>
      </c>
      <c r="AI5" s="3">
        <v>0.67</v>
      </c>
      <c r="AJ5" s="3">
        <v>45</v>
      </c>
      <c r="AK5" s="3">
        <v>5</v>
      </c>
      <c r="AL5" s="3">
        <v>2.97</v>
      </c>
    </row>
    <row r="6" spans="1:46" s="3" customFormat="1" ht="19.95" customHeight="1" x14ac:dyDescent="0.3">
      <c r="A6" s="4">
        <v>45108</v>
      </c>
      <c r="B6" s="3" t="s">
        <v>35</v>
      </c>
      <c r="C6" s="3" t="s">
        <v>36</v>
      </c>
      <c r="D6" s="3" t="s">
        <v>43</v>
      </c>
      <c r="E6" s="3" t="s">
        <v>37</v>
      </c>
      <c r="F6" s="3">
        <v>7</v>
      </c>
      <c r="G6" s="3">
        <v>2390</v>
      </c>
      <c r="H6" s="3">
        <v>25</v>
      </c>
      <c r="I6" s="3">
        <v>7.3</v>
      </c>
      <c r="K6" s="3">
        <v>220000</v>
      </c>
      <c r="L6" s="3">
        <v>2400000</v>
      </c>
      <c r="M6" s="3" t="s">
        <v>38</v>
      </c>
      <c r="N6" s="3" t="s">
        <v>39</v>
      </c>
      <c r="O6" s="3">
        <v>620</v>
      </c>
      <c r="P6" s="3">
        <v>8.5</v>
      </c>
      <c r="Q6" s="3" t="s">
        <v>40</v>
      </c>
      <c r="R6" s="3">
        <v>620</v>
      </c>
      <c r="S6" s="3">
        <v>408</v>
      </c>
      <c r="T6" s="3">
        <v>313</v>
      </c>
      <c r="U6" s="3" t="s">
        <v>41</v>
      </c>
      <c r="V6" s="3">
        <v>4.5999999999999996</v>
      </c>
      <c r="W6" s="3">
        <v>648</v>
      </c>
      <c r="X6" s="3">
        <v>328</v>
      </c>
      <c r="Z6" s="3">
        <v>320</v>
      </c>
      <c r="AB6" s="3">
        <v>30</v>
      </c>
      <c r="AC6" s="3">
        <v>199</v>
      </c>
      <c r="AD6" s="3">
        <v>1630</v>
      </c>
      <c r="AE6" s="3" t="s">
        <v>43</v>
      </c>
      <c r="AF6" s="3">
        <v>1.24</v>
      </c>
      <c r="AG6" s="3" t="s">
        <v>42</v>
      </c>
      <c r="AH6" s="3">
        <v>21</v>
      </c>
      <c r="AI6" s="3">
        <v>0.84</v>
      </c>
      <c r="AJ6" s="3" t="s">
        <v>44</v>
      </c>
      <c r="AK6" s="3" t="s">
        <v>43</v>
      </c>
      <c r="AL6" s="3" t="s">
        <v>43</v>
      </c>
    </row>
    <row r="7" spans="1:46" s="3" customFormat="1" ht="19.95" customHeight="1" x14ac:dyDescent="0.3">
      <c r="A7" s="4">
        <v>45170</v>
      </c>
      <c r="B7" s="3" t="s">
        <v>35</v>
      </c>
      <c r="C7" s="3" t="s">
        <v>36</v>
      </c>
      <c r="D7" s="3" t="s">
        <v>43</v>
      </c>
      <c r="E7" s="3">
        <v>1.9</v>
      </c>
      <c r="F7" s="3">
        <v>6.8</v>
      </c>
      <c r="G7" s="3">
        <v>1813</v>
      </c>
      <c r="H7" s="3">
        <v>29</v>
      </c>
      <c r="I7" s="3">
        <v>5</v>
      </c>
      <c r="K7" s="3">
        <v>3100</v>
      </c>
      <c r="L7" s="3">
        <v>35000</v>
      </c>
      <c r="M7" s="3" t="s">
        <v>45</v>
      </c>
      <c r="N7" s="3" t="s">
        <v>39</v>
      </c>
      <c r="O7" s="3">
        <v>400</v>
      </c>
      <c r="P7" s="3">
        <v>20.3</v>
      </c>
      <c r="Q7" s="3" t="s">
        <v>40</v>
      </c>
      <c r="R7" s="3">
        <v>400</v>
      </c>
      <c r="S7" s="3">
        <v>332</v>
      </c>
      <c r="T7" s="3">
        <v>196</v>
      </c>
      <c r="U7" s="3" t="s">
        <v>45</v>
      </c>
      <c r="V7" s="3">
        <v>4.01</v>
      </c>
      <c r="W7" s="3">
        <v>448</v>
      </c>
      <c r="X7" s="3">
        <v>228</v>
      </c>
      <c r="Z7" s="3">
        <v>220</v>
      </c>
      <c r="AB7" s="3">
        <v>38</v>
      </c>
      <c r="AC7" s="3">
        <v>183</v>
      </c>
      <c r="AD7" s="3">
        <v>1232</v>
      </c>
      <c r="AE7" s="3" t="s">
        <v>45</v>
      </c>
      <c r="AF7" s="3" t="s">
        <v>46</v>
      </c>
      <c r="AG7" s="3" t="s">
        <v>42</v>
      </c>
      <c r="AH7" s="3">
        <v>17</v>
      </c>
      <c r="AI7" s="3">
        <v>0.49</v>
      </c>
      <c r="AJ7" s="3" t="s">
        <v>45</v>
      </c>
      <c r="AK7" s="3" t="s">
        <v>45</v>
      </c>
      <c r="AL7" s="3" t="s">
        <v>45</v>
      </c>
    </row>
    <row r="8" spans="1:46" s="3" customFormat="1" ht="19.95" customHeight="1" x14ac:dyDescent="0.3">
      <c r="A8" s="4">
        <v>45200</v>
      </c>
      <c r="B8" s="3" t="s">
        <v>35</v>
      </c>
      <c r="C8" s="3" t="s">
        <v>36</v>
      </c>
      <c r="D8" s="3">
        <v>25</v>
      </c>
      <c r="E8" s="3">
        <v>3.5</v>
      </c>
      <c r="F8" s="3">
        <v>7.3</v>
      </c>
      <c r="G8" s="3">
        <v>1180</v>
      </c>
      <c r="H8" s="3">
        <v>10</v>
      </c>
      <c r="I8" s="3">
        <v>5.6</v>
      </c>
      <c r="K8" s="3">
        <v>4300</v>
      </c>
      <c r="L8" s="3">
        <v>92000</v>
      </c>
      <c r="M8" s="3" t="s">
        <v>45</v>
      </c>
      <c r="N8" s="3" t="s">
        <v>39</v>
      </c>
      <c r="O8" s="3">
        <v>340</v>
      </c>
      <c r="P8" s="3">
        <v>12.8</v>
      </c>
      <c r="Q8" s="3" t="s">
        <v>40</v>
      </c>
      <c r="R8" s="3">
        <v>340</v>
      </c>
      <c r="S8" s="3">
        <v>156</v>
      </c>
      <c r="T8" s="3">
        <v>92</v>
      </c>
      <c r="U8" s="3" t="s">
        <v>45</v>
      </c>
      <c r="V8" s="3">
        <v>1.1000000000000001</v>
      </c>
      <c r="W8" s="3">
        <v>464</v>
      </c>
      <c r="X8" s="3">
        <v>236</v>
      </c>
      <c r="Z8" s="3">
        <v>228</v>
      </c>
      <c r="AB8" s="3">
        <v>21</v>
      </c>
      <c r="AC8" s="3">
        <v>162</v>
      </c>
      <c r="AD8" s="3">
        <v>810</v>
      </c>
      <c r="AE8" s="3" t="s">
        <v>45</v>
      </c>
      <c r="AF8" s="3">
        <v>1.2</v>
      </c>
      <c r="AG8" s="3" t="s">
        <v>42</v>
      </c>
      <c r="AH8" s="3">
        <v>30</v>
      </c>
      <c r="AI8" s="3">
        <v>0.1</v>
      </c>
      <c r="AJ8" s="3">
        <v>41</v>
      </c>
      <c r="AK8" s="3">
        <v>3.3</v>
      </c>
      <c r="AL8" s="3">
        <v>2.9</v>
      </c>
      <c r="AM8" s="3" t="s">
        <v>56</v>
      </c>
      <c r="AN8" s="3" t="s">
        <v>57</v>
      </c>
      <c r="AO8" s="3" t="s">
        <v>58</v>
      </c>
      <c r="AP8" s="3">
        <v>1.2E-2</v>
      </c>
      <c r="AQ8" s="3">
        <v>0.03</v>
      </c>
      <c r="AR8" s="3">
        <v>8.9999999999999993E-3</v>
      </c>
      <c r="AS8" s="3">
        <v>8.2000000000000003E-2</v>
      </c>
      <c r="AT8" s="3">
        <v>0.245</v>
      </c>
    </row>
    <row r="9" spans="1:46" s="3" customFormat="1" ht="19.95" customHeight="1" x14ac:dyDescent="0.3">
      <c r="A9" s="4">
        <v>45261</v>
      </c>
      <c r="B9" s="3" t="s">
        <v>35</v>
      </c>
      <c r="C9" s="3" t="s">
        <v>36</v>
      </c>
      <c r="D9" s="3" t="s">
        <v>43</v>
      </c>
      <c r="E9" s="3">
        <v>2</v>
      </c>
      <c r="F9" s="3">
        <v>7.8</v>
      </c>
      <c r="G9" s="3">
        <v>1948</v>
      </c>
      <c r="H9" s="3">
        <v>18</v>
      </c>
      <c r="I9" s="3">
        <v>8.6</v>
      </c>
      <c r="K9" s="3">
        <v>230000</v>
      </c>
      <c r="L9" s="3">
        <v>2400000</v>
      </c>
      <c r="M9" s="3" t="s">
        <v>45</v>
      </c>
      <c r="N9" s="3" t="s">
        <v>39</v>
      </c>
      <c r="O9" s="3">
        <v>528</v>
      </c>
      <c r="P9" s="3">
        <v>9.8000000000000007</v>
      </c>
      <c r="Q9" s="3" t="s">
        <v>40</v>
      </c>
      <c r="R9" s="3">
        <v>528</v>
      </c>
      <c r="S9" s="3">
        <v>436</v>
      </c>
      <c r="T9" s="3">
        <v>117</v>
      </c>
      <c r="U9" s="3">
        <v>3</v>
      </c>
      <c r="V9" s="3">
        <v>2.6</v>
      </c>
      <c r="W9" s="3">
        <v>476</v>
      </c>
      <c r="X9" s="3">
        <v>240</v>
      </c>
      <c r="Z9" s="3">
        <v>236</v>
      </c>
      <c r="AB9" s="3">
        <v>47</v>
      </c>
      <c r="AC9" s="3">
        <v>163</v>
      </c>
      <c r="AD9" s="3">
        <v>1328</v>
      </c>
      <c r="AE9" s="3">
        <v>12</v>
      </c>
      <c r="AF9" s="3" t="s">
        <v>46</v>
      </c>
      <c r="AG9" s="3" t="s">
        <v>42</v>
      </c>
      <c r="AH9" s="3">
        <v>37</v>
      </c>
      <c r="AI9" s="3">
        <v>0.42</v>
      </c>
      <c r="AJ9" s="3">
        <v>40</v>
      </c>
      <c r="AK9" s="3">
        <v>3.2</v>
      </c>
      <c r="AL9" s="3">
        <v>0.4</v>
      </c>
      <c r="AM9" s="3" t="s">
        <v>43</v>
      </c>
      <c r="AN9" s="3" t="s">
        <v>43</v>
      </c>
      <c r="AO9" s="3" t="s">
        <v>43</v>
      </c>
      <c r="AP9" s="3" t="s">
        <v>43</v>
      </c>
      <c r="AQ9" s="5" t="s">
        <v>43</v>
      </c>
      <c r="AR9" s="5" t="s">
        <v>43</v>
      </c>
      <c r="AS9" s="3" t="s">
        <v>43</v>
      </c>
      <c r="AT9" s="3" t="s">
        <v>43</v>
      </c>
    </row>
    <row r="10" spans="1:46" ht="15.6" x14ac:dyDescent="0.3">
      <c r="A10" s="4">
        <v>45383</v>
      </c>
      <c r="B10" s="3" t="s">
        <v>35</v>
      </c>
      <c r="C10" s="3" t="s">
        <v>36</v>
      </c>
      <c r="D10">
        <v>28</v>
      </c>
      <c r="E10" s="3" t="s">
        <v>37</v>
      </c>
      <c r="F10" s="3">
        <v>7.1</v>
      </c>
      <c r="G10" s="3">
        <v>2273</v>
      </c>
      <c r="H10" s="3">
        <v>75</v>
      </c>
      <c r="I10" s="3">
        <v>9.9</v>
      </c>
      <c r="J10" s="6" t="s">
        <v>43</v>
      </c>
      <c r="K10" s="3">
        <v>1400</v>
      </c>
      <c r="L10" s="3">
        <v>4900</v>
      </c>
      <c r="M10" s="3" t="s">
        <v>45</v>
      </c>
      <c r="N10" s="3" t="s">
        <v>39</v>
      </c>
      <c r="O10" s="3">
        <v>572</v>
      </c>
      <c r="P10" s="3">
        <v>32</v>
      </c>
      <c r="Q10" s="3" t="s">
        <v>40</v>
      </c>
      <c r="R10" s="3">
        <v>572</v>
      </c>
      <c r="S10" s="3">
        <v>476</v>
      </c>
      <c r="T10" s="3">
        <v>250</v>
      </c>
      <c r="U10" s="3">
        <v>50</v>
      </c>
      <c r="V10" s="3">
        <v>38</v>
      </c>
      <c r="W10" s="3">
        <v>548</v>
      </c>
      <c r="X10" s="3">
        <v>280</v>
      </c>
      <c r="Y10" s="3">
        <v>112</v>
      </c>
      <c r="Z10" s="3">
        <v>268</v>
      </c>
      <c r="AA10" s="3">
        <v>65</v>
      </c>
      <c r="AB10" s="3">
        <v>42</v>
      </c>
      <c r="AC10" s="3">
        <v>290</v>
      </c>
      <c r="AD10" s="3">
        <v>1548</v>
      </c>
      <c r="AE10" s="3">
        <v>46</v>
      </c>
      <c r="AF10" s="3">
        <v>6.3</v>
      </c>
      <c r="AG10" s="3" t="s">
        <v>42</v>
      </c>
      <c r="AH10" s="3">
        <v>40</v>
      </c>
      <c r="AI10" s="3">
        <v>0.39</v>
      </c>
      <c r="AJ10" s="3">
        <v>51</v>
      </c>
      <c r="AK10" s="3">
        <v>7.5</v>
      </c>
      <c r="AL10" s="3">
        <v>15</v>
      </c>
    </row>
    <row r="11" spans="1:46" s="3" customFormat="1" ht="19.95" customHeight="1" x14ac:dyDescent="0.3">
      <c r="A11" s="4">
        <v>45413</v>
      </c>
      <c r="B11" s="3" t="s">
        <v>35</v>
      </c>
      <c r="C11" s="3" t="s">
        <v>36</v>
      </c>
      <c r="D11" s="3">
        <v>28</v>
      </c>
      <c r="E11" s="3">
        <v>0.5</v>
      </c>
      <c r="F11" s="3">
        <v>6.8</v>
      </c>
      <c r="G11" s="3">
        <v>1614</v>
      </c>
      <c r="H11" s="3">
        <v>39</v>
      </c>
      <c r="I11" s="3">
        <v>2.84</v>
      </c>
      <c r="J11" s="3" t="s">
        <v>43</v>
      </c>
      <c r="K11" s="3">
        <v>17000</v>
      </c>
      <c r="L11" s="3">
        <v>48000</v>
      </c>
      <c r="M11" s="3" t="s">
        <v>45</v>
      </c>
      <c r="N11" s="3" t="s">
        <v>39</v>
      </c>
      <c r="O11" s="3">
        <v>316</v>
      </c>
      <c r="P11" s="3">
        <v>3.9</v>
      </c>
      <c r="Q11" s="3" t="s">
        <v>40</v>
      </c>
      <c r="R11" s="3">
        <v>316</v>
      </c>
      <c r="S11" s="3">
        <v>220</v>
      </c>
      <c r="T11" s="3">
        <v>200</v>
      </c>
      <c r="U11" s="3">
        <v>8.9</v>
      </c>
      <c r="V11" s="3">
        <v>6.6</v>
      </c>
      <c r="W11" s="3">
        <v>180</v>
      </c>
      <c r="X11" s="3">
        <v>96</v>
      </c>
      <c r="Y11" s="3" t="s">
        <v>43</v>
      </c>
      <c r="Z11" s="3">
        <v>84</v>
      </c>
      <c r="AA11" s="3" t="s">
        <v>43</v>
      </c>
      <c r="AB11" s="3">
        <v>12</v>
      </c>
      <c r="AC11" s="3">
        <v>129</v>
      </c>
      <c r="AD11" s="3">
        <v>1064</v>
      </c>
      <c r="AE11" s="3">
        <v>14</v>
      </c>
      <c r="AF11" s="3">
        <v>1.8</v>
      </c>
      <c r="AG11" s="3" t="s">
        <v>42</v>
      </c>
      <c r="AH11" s="3">
        <v>25</v>
      </c>
      <c r="AI11" s="3">
        <v>0.27</v>
      </c>
      <c r="AJ11" s="3">
        <v>41</v>
      </c>
      <c r="AK11" s="3">
        <v>3</v>
      </c>
      <c r="AL11" s="3">
        <v>5.3</v>
      </c>
    </row>
    <row r="12" spans="1:46" s="3" customFormat="1" ht="19.95" customHeight="1" x14ac:dyDescent="0.3">
      <c r="A12" s="4">
        <v>45444</v>
      </c>
      <c r="B12" s="3" t="s">
        <v>35</v>
      </c>
      <c r="C12" s="3" t="s">
        <v>36</v>
      </c>
      <c r="D12" s="3" t="s">
        <v>43</v>
      </c>
      <c r="E12" s="3" t="s">
        <v>37</v>
      </c>
      <c r="F12" s="3">
        <v>7</v>
      </c>
      <c r="G12" s="3">
        <v>2081</v>
      </c>
      <c r="H12" s="3">
        <v>26</v>
      </c>
      <c r="I12" s="3">
        <v>7.2</v>
      </c>
      <c r="J12" s="3" t="s">
        <v>62</v>
      </c>
      <c r="K12" s="3">
        <v>92000</v>
      </c>
      <c r="L12" s="3">
        <v>460000</v>
      </c>
      <c r="M12" s="3" t="s">
        <v>45</v>
      </c>
      <c r="N12" s="3" t="s">
        <v>39</v>
      </c>
      <c r="O12" s="3">
        <v>588</v>
      </c>
      <c r="P12" s="3">
        <v>20.100000000000001</v>
      </c>
      <c r="Q12" s="3" t="s">
        <v>40</v>
      </c>
      <c r="R12" s="3">
        <v>588</v>
      </c>
      <c r="S12" s="3">
        <v>324</v>
      </c>
      <c r="T12" s="3">
        <v>210</v>
      </c>
      <c r="U12" s="3">
        <v>32.200000000000003</v>
      </c>
      <c r="V12" s="3">
        <v>24.8</v>
      </c>
      <c r="W12" s="3">
        <v>564</v>
      </c>
      <c r="X12" s="3">
        <v>288</v>
      </c>
      <c r="Y12" s="3">
        <v>115.2</v>
      </c>
      <c r="Z12" s="3">
        <v>276</v>
      </c>
      <c r="AA12" s="3">
        <v>67.06</v>
      </c>
      <c r="AB12" s="3">
        <v>32</v>
      </c>
      <c r="AC12" s="3">
        <v>201</v>
      </c>
      <c r="AD12" s="3">
        <v>1412</v>
      </c>
      <c r="AE12" s="3">
        <v>26</v>
      </c>
      <c r="AF12" s="3">
        <v>2.7</v>
      </c>
      <c r="AG12" s="3" t="s">
        <v>42</v>
      </c>
      <c r="AH12" s="3">
        <v>26</v>
      </c>
      <c r="AI12" s="3">
        <v>0.71</v>
      </c>
      <c r="AJ12" s="3">
        <v>42</v>
      </c>
      <c r="AK12" s="3">
        <v>3.7</v>
      </c>
      <c r="AL12" s="3">
        <v>7.6</v>
      </c>
    </row>
    <row r="13" spans="1:46" s="3" customFormat="1" ht="19.95" customHeight="1" x14ac:dyDescent="0.3">
      <c r="A13" s="4">
        <v>45474</v>
      </c>
      <c r="B13" s="3" t="s">
        <v>35</v>
      </c>
      <c r="C13" s="3" t="s">
        <v>36</v>
      </c>
      <c r="D13" s="3" t="s">
        <v>43</v>
      </c>
      <c r="E13" s="3" t="s">
        <v>37</v>
      </c>
      <c r="F13" s="3">
        <v>6.9</v>
      </c>
      <c r="G13" s="3">
        <v>2055</v>
      </c>
      <c r="H13" s="3">
        <v>45</v>
      </c>
      <c r="I13" s="3">
        <v>8.2899999999999991</v>
      </c>
      <c r="J13" s="3">
        <v>0.56000000000000005</v>
      </c>
      <c r="K13" s="3">
        <v>2100</v>
      </c>
      <c r="L13" s="3">
        <v>13000</v>
      </c>
      <c r="M13" s="3" t="s">
        <v>45</v>
      </c>
      <c r="N13" s="3" t="s">
        <v>39</v>
      </c>
      <c r="O13" s="3">
        <v>516</v>
      </c>
      <c r="P13" s="3">
        <v>30.6</v>
      </c>
      <c r="Q13" s="3" t="s">
        <v>40</v>
      </c>
      <c r="R13" s="3">
        <v>516</v>
      </c>
      <c r="S13" s="3">
        <v>396</v>
      </c>
      <c r="T13" s="3">
        <v>252</v>
      </c>
      <c r="U13" s="3">
        <v>12.9</v>
      </c>
      <c r="V13" s="3">
        <v>33</v>
      </c>
      <c r="W13" s="3">
        <v>572</v>
      </c>
      <c r="X13" s="3">
        <v>292</v>
      </c>
      <c r="Y13" s="3">
        <v>116.8</v>
      </c>
      <c r="Z13" s="3">
        <v>280</v>
      </c>
      <c r="AA13" s="3">
        <v>68</v>
      </c>
      <c r="AB13" s="3">
        <v>40</v>
      </c>
      <c r="AC13" s="3">
        <v>116</v>
      </c>
      <c r="AD13" s="3">
        <v>1376</v>
      </c>
      <c r="AE13" s="3">
        <v>40</v>
      </c>
      <c r="AF13" s="3">
        <v>1.4</v>
      </c>
      <c r="AG13" s="3" t="s">
        <v>42</v>
      </c>
      <c r="AH13" s="3">
        <v>76</v>
      </c>
      <c r="AI13" s="3">
        <v>0.57999999999999996</v>
      </c>
      <c r="AJ13" s="3">
        <v>38</v>
      </c>
      <c r="AK13" s="3">
        <v>3</v>
      </c>
      <c r="AL13" s="3">
        <v>3.7</v>
      </c>
    </row>
    <row r="14" spans="1:46" s="3" customFormat="1" ht="19.95" customHeight="1" x14ac:dyDescent="0.3">
      <c r="A14" s="4">
        <v>45505</v>
      </c>
      <c r="B14" s="3" t="s">
        <v>35</v>
      </c>
      <c r="C14" s="3" t="s">
        <v>36</v>
      </c>
      <c r="D14" s="3">
        <v>22</v>
      </c>
      <c r="E14" s="3">
        <v>2.9</v>
      </c>
      <c r="F14" s="3">
        <v>6.9</v>
      </c>
      <c r="G14" s="3">
        <v>705</v>
      </c>
      <c r="H14" s="3">
        <v>28</v>
      </c>
      <c r="I14" s="3">
        <v>2.5</v>
      </c>
      <c r="J14" s="3">
        <v>0.72</v>
      </c>
      <c r="K14" s="3">
        <v>840</v>
      </c>
      <c r="L14" s="3">
        <v>9200</v>
      </c>
      <c r="M14" s="3" t="s">
        <v>45</v>
      </c>
      <c r="N14" s="3" t="s">
        <v>39</v>
      </c>
      <c r="O14" s="3">
        <v>84</v>
      </c>
      <c r="P14" s="3">
        <v>9.6</v>
      </c>
      <c r="Q14" s="3" t="s">
        <v>40</v>
      </c>
      <c r="R14" s="3">
        <v>84</v>
      </c>
      <c r="S14" s="3">
        <v>100</v>
      </c>
      <c r="T14" s="3">
        <v>184</v>
      </c>
      <c r="U14" s="3">
        <v>13.2</v>
      </c>
      <c r="V14" s="3">
        <v>8.6</v>
      </c>
      <c r="W14" s="3">
        <v>184</v>
      </c>
      <c r="X14" s="3">
        <v>100</v>
      </c>
      <c r="Y14" s="3">
        <v>40</v>
      </c>
      <c r="Z14" s="3">
        <v>84</v>
      </c>
      <c r="AA14" s="3">
        <v>20</v>
      </c>
      <c r="AB14" s="3">
        <v>34</v>
      </c>
      <c r="AC14" s="3">
        <v>68</v>
      </c>
      <c r="AD14" s="3">
        <v>474</v>
      </c>
      <c r="AE14" s="3">
        <v>12</v>
      </c>
      <c r="AF14" s="3" t="s">
        <v>46</v>
      </c>
      <c r="AG14" s="3" t="s">
        <v>42</v>
      </c>
      <c r="AH14" s="3">
        <v>25</v>
      </c>
      <c r="AI14" s="3">
        <v>0.34</v>
      </c>
      <c r="AJ14" s="3">
        <v>41</v>
      </c>
      <c r="AK14" s="3">
        <v>2</v>
      </c>
      <c r="AL14" s="3">
        <v>0.31</v>
      </c>
    </row>
    <row r="15" spans="1:46" s="3" customFormat="1" ht="19.95" customHeight="1" x14ac:dyDescent="0.3">
      <c r="A15" s="4">
        <v>45536</v>
      </c>
      <c r="B15" s="3" t="s">
        <v>35</v>
      </c>
      <c r="C15" s="3" t="s">
        <v>36</v>
      </c>
      <c r="D15" s="3">
        <v>22</v>
      </c>
      <c r="E15" s="3">
        <v>0.7</v>
      </c>
      <c r="F15" s="3">
        <v>7.4</v>
      </c>
      <c r="G15" s="3">
        <v>1910</v>
      </c>
      <c r="H15" s="3">
        <v>41</v>
      </c>
      <c r="I15" s="3">
        <v>5.9</v>
      </c>
      <c r="J15" s="3" t="s">
        <v>62</v>
      </c>
      <c r="K15" s="3">
        <v>110000</v>
      </c>
      <c r="L15" s="3">
        <v>490000</v>
      </c>
      <c r="M15" s="3" t="s">
        <v>45</v>
      </c>
      <c r="N15" s="3" t="s">
        <v>39</v>
      </c>
      <c r="O15" s="3">
        <v>684</v>
      </c>
      <c r="P15" s="3">
        <v>60</v>
      </c>
      <c r="Q15" s="3" t="s">
        <v>40</v>
      </c>
      <c r="R15" s="3">
        <v>684</v>
      </c>
      <c r="S15" s="3">
        <v>376</v>
      </c>
      <c r="T15" s="3">
        <v>204</v>
      </c>
      <c r="U15" s="3">
        <v>30</v>
      </c>
      <c r="V15" s="3">
        <v>23</v>
      </c>
      <c r="W15" s="3">
        <v>716</v>
      </c>
      <c r="X15" s="3">
        <v>364</v>
      </c>
      <c r="Y15" s="3">
        <v>145.6</v>
      </c>
      <c r="Z15" s="3">
        <v>352</v>
      </c>
      <c r="AA15" s="3">
        <v>85.5</v>
      </c>
      <c r="AB15" s="3">
        <v>45</v>
      </c>
      <c r="AC15" s="3">
        <v>179</v>
      </c>
      <c r="AD15" s="3">
        <v>1308</v>
      </c>
      <c r="AE15" s="3">
        <v>82</v>
      </c>
      <c r="AF15" s="3" t="s">
        <v>46</v>
      </c>
      <c r="AG15" s="3" t="s">
        <v>42</v>
      </c>
      <c r="AH15" s="3">
        <v>30</v>
      </c>
      <c r="AI15" s="3">
        <v>0.27</v>
      </c>
      <c r="AJ15" s="3">
        <v>34</v>
      </c>
      <c r="AK15" s="3">
        <v>3</v>
      </c>
      <c r="AL15" s="3">
        <v>0.9</v>
      </c>
    </row>
    <row r="16" spans="1:46" s="3" customFormat="1" ht="19.95" customHeight="1" x14ac:dyDescent="0.3">
      <c r="A16" s="4">
        <v>45566</v>
      </c>
      <c r="B16" s="3" t="s">
        <v>35</v>
      </c>
      <c r="C16" s="3" t="s">
        <v>36</v>
      </c>
      <c r="D16" s="3">
        <v>22</v>
      </c>
      <c r="E16" s="3" t="s">
        <v>37</v>
      </c>
      <c r="F16" s="3">
        <v>6.9</v>
      </c>
      <c r="G16" s="3">
        <v>1873</v>
      </c>
      <c r="H16" s="3">
        <v>79</v>
      </c>
      <c r="I16" s="3">
        <v>4.7</v>
      </c>
      <c r="J16" s="3">
        <v>0.52</v>
      </c>
      <c r="K16" s="3">
        <v>1100000</v>
      </c>
      <c r="L16" s="3">
        <v>4900000</v>
      </c>
      <c r="M16" s="3" t="s">
        <v>45</v>
      </c>
      <c r="N16" s="3" t="s">
        <v>39</v>
      </c>
      <c r="O16" s="3">
        <v>436</v>
      </c>
      <c r="P16" s="3">
        <v>36.4</v>
      </c>
      <c r="Q16" s="3" t="s">
        <v>40</v>
      </c>
      <c r="R16" s="3">
        <v>436</v>
      </c>
      <c r="S16" s="3">
        <v>320</v>
      </c>
      <c r="T16" s="3">
        <v>372</v>
      </c>
      <c r="U16" s="3">
        <v>27.1</v>
      </c>
      <c r="V16" s="3">
        <v>23.4</v>
      </c>
      <c r="W16" s="3">
        <v>512</v>
      </c>
      <c r="X16" s="3">
        <v>760</v>
      </c>
      <c r="Y16" s="3">
        <v>104</v>
      </c>
      <c r="Z16" s="3">
        <v>252</v>
      </c>
      <c r="AA16" s="3">
        <v>61</v>
      </c>
      <c r="AB16" s="3">
        <v>76</v>
      </c>
      <c r="AC16" s="3">
        <v>164</v>
      </c>
      <c r="AD16" s="3">
        <v>1284</v>
      </c>
      <c r="AE16" s="3">
        <v>42</v>
      </c>
      <c r="AF16" s="3">
        <v>1.49</v>
      </c>
      <c r="AG16" s="3" t="s">
        <v>42</v>
      </c>
      <c r="AH16" s="3">
        <v>37</v>
      </c>
      <c r="AI16" s="3">
        <v>0.42</v>
      </c>
      <c r="AJ16" s="3">
        <v>39</v>
      </c>
      <c r="AK16" s="3">
        <v>3.15</v>
      </c>
      <c r="AL16" s="3">
        <v>4.3499999999999996</v>
      </c>
      <c r="AM16" s="3" t="s">
        <v>56</v>
      </c>
      <c r="AN16" s="3" t="s">
        <v>57</v>
      </c>
      <c r="AO16" s="3" t="s">
        <v>58</v>
      </c>
      <c r="AP16" s="3" t="s">
        <v>63</v>
      </c>
      <c r="AQ16" s="3" t="s">
        <v>64</v>
      </c>
      <c r="AR16" s="3">
        <v>0.25800000000000001</v>
      </c>
      <c r="AS16" s="3">
        <v>0.85899999999999999</v>
      </c>
      <c r="AT16" s="3">
        <v>0.20699999999999999</v>
      </c>
    </row>
    <row r="17" spans="1:46" s="3" customFormat="1" ht="19.95" customHeight="1" x14ac:dyDescent="0.3">
      <c r="A17" s="4">
        <v>45597</v>
      </c>
      <c r="B17" s="3" t="s">
        <v>35</v>
      </c>
      <c r="C17" s="3" t="s">
        <v>36</v>
      </c>
      <c r="D17" s="3">
        <v>27</v>
      </c>
      <c r="E17" s="3">
        <v>2.2000000000000002</v>
      </c>
      <c r="F17" s="3">
        <v>7.9</v>
      </c>
      <c r="G17" s="3">
        <v>1996</v>
      </c>
      <c r="H17" s="3">
        <v>27</v>
      </c>
      <c r="I17" s="3">
        <v>0.7</v>
      </c>
      <c r="J17" s="3" t="s">
        <v>62</v>
      </c>
      <c r="K17" s="3">
        <v>11000</v>
      </c>
      <c r="L17" s="3">
        <v>46000</v>
      </c>
      <c r="M17" s="3" t="s">
        <v>45</v>
      </c>
      <c r="N17" s="3" t="s">
        <v>39</v>
      </c>
      <c r="O17" s="3">
        <v>408</v>
      </c>
      <c r="P17" s="3">
        <v>33</v>
      </c>
      <c r="Q17" s="3" t="s">
        <v>40</v>
      </c>
      <c r="R17" s="3">
        <v>408</v>
      </c>
      <c r="S17" s="3">
        <v>176</v>
      </c>
      <c r="T17" s="3">
        <v>170</v>
      </c>
      <c r="U17" s="3">
        <v>50</v>
      </c>
      <c r="V17" s="3">
        <v>39</v>
      </c>
      <c r="W17" s="3">
        <v>584</v>
      </c>
      <c r="X17" s="3">
        <v>312</v>
      </c>
      <c r="Y17" s="3">
        <v>125</v>
      </c>
      <c r="Z17" s="3">
        <v>263</v>
      </c>
      <c r="AA17" s="3">
        <v>64</v>
      </c>
      <c r="AB17" s="3">
        <v>34</v>
      </c>
      <c r="AC17" s="3">
        <v>252</v>
      </c>
      <c r="AD17" s="3">
        <v>1357</v>
      </c>
      <c r="AE17" s="3">
        <v>54</v>
      </c>
      <c r="AF17" s="3">
        <v>0.36</v>
      </c>
      <c r="AG17" s="3" t="s">
        <v>42</v>
      </c>
      <c r="AH17" s="3">
        <v>30</v>
      </c>
      <c r="AI17" s="3">
        <v>0.27</v>
      </c>
      <c r="AJ17" s="3">
        <v>47</v>
      </c>
      <c r="AK17" s="3">
        <v>4.5</v>
      </c>
      <c r="AL17" s="3">
        <v>0.89</v>
      </c>
    </row>
    <row r="18" spans="1:46" s="3" customFormat="1" ht="19.95" customHeight="1" x14ac:dyDescent="0.3">
      <c r="A18" s="4">
        <v>45627</v>
      </c>
      <c r="B18" s="3" t="s">
        <v>35</v>
      </c>
      <c r="C18" s="3" t="s">
        <v>36</v>
      </c>
      <c r="D18" s="3">
        <v>23</v>
      </c>
      <c r="E18" s="3" t="s">
        <v>37</v>
      </c>
      <c r="F18" s="3">
        <v>7.2</v>
      </c>
      <c r="G18" s="3">
        <v>2120</v>
      </c>
      <c r="H18" s="3">
        <v>7</v>
      </c>
      <c r="I18" s="3">
        <v>9.5</v>
      </c>
      <c r="J18" s="3">
        <v>0.6</v>
      </c>
      <c r="K18" s="3">
        <v>14000</v>
      </c>
      <c r="L18" s="3">
        <v>70000</v>
      </c>
      <c r="M18" s="3" t="s">
        <v>45</v>
      </c>
      <c r="N18" s="3" t="s">
        <v>39</v>
      </c>
      <c r="O18" s="3">
        <v>496</v>
      </c>
      <c r="P18" s="3">
        <v>38</v>
      </c>
      <c r="Q18" s="3" t="s">
        <v>40</v>
      </c>
      <c r="R18" s="3">
        <v>496</v>
      </c>
      <c r="S18" s="3">
        <v>360</v>
      </c>
      <c r="T18" s="3">
        <v>332</v>
      </c>
      <c r="U18" s="3">
        <v>24</v>
      </c>
      <c r="V18" s="3">
        <v>19</v>
      </c>
      <c r="W18" s="3">
        <v>580</v>
      </c>
      <c r="X18" s="3">
        <v>296</v>
      </c>
      <c r="Y18" s="3">
        <v>118.4</v>
      </c>
      <c r="Z18" s="3">
        <v>284</v>
      </c>
      <c r="AA18" s="3">
        <v>69.040000000000006</v>
      </c>
      <c r="AB18" s="3">
        <v>86</v>
      </c>
      <c r="AC18" s="3">
        <v>170</v>
      </c>
      <c r="AD18" s="3">
        <v>1456</v>
      </c>
      <c r="AE18" s="3">
        <v>44</v>
      </c>
      <c r="AF18" s="3">
        <v>0.79</v>
      </c>
      <c r="AG18" s="3" t="s">
        <v>42</v>
      </c>
      <c r="AH18" s="3">
        <v>42</v>
      </c>
      <c r="AI18" s="3">
        <v>0.49</v>
      </c>
      <c r="AJ18" s="3">
        <v>37</v>
      </c>
      <c r="AK18" s="3">
        <v>3.08</v>
      </c>
      <c r="AL18" s="3">
        <v>2.19</v>
      </c>
    </row>
    <row r="19" spans="1:46" s="3" customFormat="1" ht="19.95" customHeight="1" x14ac:dyDescent="0.3">
      <c r="A19" s="4">
        <v>45658</v>
      </c>
      <c r="B19" s="3" t="s">
        <v>35</v>
      </c>
      <c r="C19" s="3" t="s">
        <v>36</v>
      </c>
      <c r="D19" s="3">
        <v>22</v>
      </c>
      <c r="E19" s="3" t="s">
        <v>37</v>
      </c>
      <c r="F19" s="3">
        <v>7.5</v>
      </c>
      <c r="G19" s="3">
        <v>2880</v>
      </c>
      <c r="H19" s="3">
        <v>62</v>
      </c>
      <c r="I19" s="3">
        <v>9</v>
      </c>
      <c r="J19" s="3" t="s">
        <v>62</v>
      </c>
      <c r="K19" s="3">
        <v>17000</v>
      </c>
      <c r="L19" s="3">
        <v>70000</v>
      </c>
      <c r="M19" s="3" t="s">
        <v>45</v>
      </c>
      <c r="N19" s="3" t="s">
        <v>39</v>
      </c>
      <c r="O19" s="3">
        <v>584</v>
      </c>
      <c r="P19" s="3">
        <v>80.400000000000006</v>
      </c>
      <c r="Q19" s="3" t="s">
        <v>40</v>
      </c>
      <c r="R19" s="3">
        <v>584</v>
      </c>
      <c r="S19" s="3">
        <v>452</v>
      </c>
      <c r="T19" s="3">
        <v>244</v>
      </c>
      <c r="U19" s="3">
        <v>37.6</v>
      </c>
      <c r="V19" s="3">
        <v>52</v>
      </c>
      <c r="W19" s="3">
        <v>68</v>
      </c>
      <c r="X19" s="3">
        <v>316</v>
      </c>
      <c r="Y19" s="3">
        <v>126.4</v>
      </c>
      <c r="Z19" s="3">
        <v>312</v>
      </c>
      <c r="AA19" s="3">
        <v>75.849999999999994</v>
      </c>
      <c r="AB19" s="3">
        <v>36</v>
      </c>
      <c r="AC19" s="3">
        <v>244</v>
      </c>
      <c r="AD19" s="3">
        <v>1600</v>
      </c>
      <c r="AE19" s="3">
        <v>26</v>
      </c>
      <c r="AF19" s="3">
        <v>3</v>
      </c>
      <c r="AG19" s="3" t="s">
        <v>42</v>
      </c>
      <c r="AH19" s="3">
        <v>34</v>
      </c>
      <c r="AI19" s="3">
        <v>0.28000000000000003</v>
      </c>
      <c r="AJ19" s="3">
        <v>44</v>
      </c>
      <c r="AK19" s="3">
        <v>4.2</v>
      </c>
      <c r="AL19" s="3">
        <v>7</v>
      </c>
    </row>
    <row r="20" spans="1:46" s="3" customFormat="1" ht="19.95" customHeight="1" x14ac:dyDescent="0.3">
      <c r="A20" s="4">
        <v>45689</v>
      </c>
      <c r="B20" s="3" t="s">
        <v>35</v>
      </c>
      <c r="C20" s="3" t="s">
        <v>36</v>
      </c>
      <c r="D20" s="3">
        <v>24</v>
      </c>
      <c r="E20" s="3" t="s">
        <v>37</v>
      </c>
      <c r="F20" s="3">
        <v>7.7</v>
      </c>
      <c r="G20" s="3">
        <v>1368</v>
      </c>
      <c r="H20" s="3">
        <v>25</v>
      </c>
      <c r="I20" s="3">
        <v>5.25</v>
      </c>
      <c r="J20" s="3" t="s">
        <v>62</v>
      </c>
      <c r="K20" s="3">
        <v>1100</v>
      </c>
      <c r="L20" s="3">
        <v>4900</v>
      </c>
      <c r="M20" s="3" t="s">
        <v>45</v>
      </c>
      <c r="N20" s="3" t="s">
        <v>39</v>
      </c>
      <c r="O20" s="3">
        <v>124</v>
      </c>
      <c r="P20" s="3">
        <v>15.8</v>
      </c>
      <c r="Q20" s="3" t="s">
        <v>40</v>
      </c>
      <c r="R20" s="3">
        <v>124</v>
      </c>
      <c r="S20" s="3">
        <v>108</v>
      </c>
      <c r="T20" s="3">
        <v>274</v>
      </c>
      <c r="U20" s="3">
        <v>91.8</v>
      </c>
      <c r="V20" s="3">
        <v>61</v>
      </c>
      <c r="W20" s="3">
        <v>640</v>
      </c>
      <c r="X20" s="3">
        <v>142</v>
      </c>
      <c r="Y20" s="3">
        <v>57</v>
      </c>
      <c r="Z20" s="3">
        <v>498</v>
      </c>
      <c r="AA20" s="3">
        <v>121</v>
      </c>
      <c r="AB20" s="3">
        <v>47</v>
      </c>
      <c r="AC20" s="3">
        <v>171</v>
      </c>
      <c r="AD20" s="3">
        <v>936</v>
      </c>
      <c r="AE20" s="3">
        <v>22</v>
      </c>
      <c r="AF20" s="3">
        <v>0.61</v>
      </c>
      <c r="AG20" s="3" t="s">
        <v>42</v>
      </c>
      <c r="AH20" s="3">
        <v>42</v>
      </c>
      <c r="AI20" s="3">
        <v>0.53</v>
      </c>
      <c r="AJ20" s="3">
        <v>32</v>
      </c>
      <c r="AK20" s="3">
        <v>2.94</v>
      </c>
      <c r="AL20" s="3">
        <v>1.55</v>
      </c>
    </row>
    <row r="21" spans="1:46" s="3" customFormat="1" ht="19.95" customHeight="1" x14ac:dyDescent="0.3">
      <c r="A21" s="4">
        <v>45717</v>
      </c>
      <c r="B21" s="3" t="s">
        <v>35</v>
      </c>
      <c r="C21" s="3" t="s">
        <v>36</v>
      </c>
      <c r="D21" s="3">
        <v>24</v>
      </c>
      <c r="E21" s="3">
        <v>2.1</v>
      </c>
      <c r="F21" s="3">
        <v>7.6</v>
      </c>
      <c r="G21" s="3">
        <v>1847</v>
      </c>
      <c r="H21" s="3">
        <v>28</v>
      </c>
      <c r="I21" s="3">
        <v>5.4</v>
      </c>
      <c r="J21" s="3">
        <v>0.6</v>
      </c>
      <c r="K21" s="3">
        <v>21000</v>
      </c>
      <c r="L21" s="3">
        <v>70000</v>
      </c>
      <c r="M21" s="3" t="s">
        <v>45</v>
      </c>
      <c r="N21" s="3" t="s">
        <v>39</v>
      </c>
      <c r="O21" s="3">
        <v>420</v>
      </c>
      <c r="P21" s="3">
        <v>7.2</v>
      </c>
      <c r="Q21" s="3" t="s">
        <v>40</v>
      </c>
      <c r="R21" s="3">
        <v>420</v>
      </c>
      <c r="S21" s="3">
        <v>404</v>
      </c>
      <c r="T21" s="3">
        <v>201</v>
      </c>
      <c r="U21" s="3">
        <v>28.2</v>
      </c>
      <c r="V21" s="3">
        <v>24</v>
      </c>
      <c r="W21" s="3">
        <v>468</v>
      </c>
      <c r="X21" s="3">
        <v>240</v>
      </c>
      <c r="Y21" s="3">
        <v>96</v>
      </c>
      <c r="Z21" s="3">
        <v>228</v>
      </c>
      <c r="AA21" s="3">
        <v>55</v>
      </c>
      <c r="AB21" s="3" t="s">
        <v>43</v>
      </c>
      <c r="AC21" s="3">
        <v>191</v>
      </c>
      <c r="AD21" s="3">
        <v>1256</v>
      </c>
      <c r="AE21" s="3" t="s">
        <v>65</v>
      </c>
      <c r="AF21" s="3">
        <v>1</v>
      </c>
      <c r="AG21" s="3" t="s">
        <v>42</v>
      </c>
      <c r="AH21" s="3">
        <v>33</v>
      </c>
      <c r="AI21" s="3">
        <v>0.59</v>
      </c>
      <c r="AJ21" s="3">
        <v>45</v>
      </c>
      <c r="AK21" s="3">
        <v>3.8</v>
      </c>
      <c r="AL21" s="3" t="s">
        <v>66</v>
      </c>
    </row>
    <row r="22" spans="1:46" s="3" customFormat="1" ht="19.95" customHeight="1" x14ac:dyDescent="0.3">
      <c r="A22" s="4">
        <v>45748</v>
      </c>
      <c r="B22" s="3" t="s">
        <v>35</v>
      </c>
      <c r="C22" s="3" t="s">
        <v>69</v>
      </c>
      <c r="D22" s="3">
        <v>22</v>
      </c>
      <c r="E22" s="3">
        <v>5.3</v>
      </c>
      <c r="F22" s="3">
        <v>6.9</v>
      </c>
      <c r="G22" s="3">
        <v>1498</v>
      </c>
      <c r="H22" s="3">
        <v>5</v>
      </c>
      <c r="I22" s="3">
        <v>5.8</v>
      </c>
      <c r="J22" s="3">
        <v>0.79</v>
      </c>
      <c r="K22" s="3">
        <v>210</v>
      </c>
      <c r="L22" s="3">
        <v>1200</v>
      </c>
      <c r="M22" s="3" t="s">
        <v>45</v>
      </c>
      <c r="N22" s="3" t="s">
        <v>39</v>
      </c>
      <c r="O22" s="3">
        <v>360</v>
      </c>
      <c r="P22" s="3">
        <v>22.3</v>
      </c>
      <c r="Q22" s="3" t="s">
        <v>40</v>
      </c>
      <c r="R22" s="3">
        <v>360</v>
      </c>
      <c r="S22" s="3">
        <v>344</v>
      </c>
      <c r="T22" s="3">
        <v>56</v>
      </c>
      <c r="U22" s="3" t="s">
        <v>67</v>
      </c>
      <c r="V22" s="3">
        <v>0.59</v>
      </c>
      <c r="W22" s="3">
        <v>544</v>
      </c>
      <c r="X22" s="3">
        <v>268</v>
      </c>
      <c r="Y22" s="3">
        <v>107</v>
      </c>
      <c r="Z22" s="3">
        <v>276</v>
      </c>
      <c r="AA22" s="3">
        <v>67</v>
      </c>
      <c r="AB22" s="3">
        <v>26</v>
      </c>
      <c r="AC22" s="3">
        <v>104</v>
      </c>
      <c r="AD22" s="3">
        <v>1020</v>
      </c>
      <c r="AE22" s="3" t="s">
        <v>65</v>
      </c>
      <c r="AF22" s="3" t="s">
        <v>46</v>
      </c>
      <c r="AG22" s="3" t="s">
        <v>42</v>
      </c>
      <c r="AH22" s="3">
        <v>12</v>
      </c>
      <c r="AI22" s="3">
        <v>0.45</v>
      </c>
      <c r="AJ22" s="3">
        <v>0.34</v>
      </c>
      <c r="AK22" s="3">
        <v>2.4500000000000002</v>
      </c>
      <c r="AL22" s="3">
        <v>0.44</v>
      </c>
      <c r="AM22" s="3" t="s">
        <v>56</v>
      </c>
      <c r="AN22" s="3" t="s">
        <v>57</v>
      </c>
      <c r="AO22" s="3" t="s">
        <v>58</v>
      </c>
      <c r="AP22" s="3" t="s">
        <v>63</v>
      </c>
      <c r="AQ22" s="3">
        <v>7.0000000000000007E-2</v>
      </c>
      <c r="AR22" s="3" t="s">
        <v>68</v>
      </c>
      <c r="AS22" s="3">
        <v>0.13400000000000001</v>
      </c>
      <c r="AT22" s="3">
        <v>0.14299999999999999</v>
      </c>
    </row>
    <row r="23" spans="1:46" s="3" customFormat="1" ht="19.95" customHeight="1" x14ac:dyDescent="0.3">
      <c r="A23" s="4">
        <v>45778</v>
      </c>
      <c r="B23" s="3" t="s">
        <v>35</v>
      </c>
      <c r="C23" s="3" t="s">
        <v>36</v>
      </c>
      <c r="D23" s="3">
        <v>20</v>
      </c>
      <c r="E23" s="3" t="s">
        <v>37</v>
      </c>
      <c r="F23" s="3">
        <v>7.4</v>
      </c>
      <c r="G23" s="3">
        <v>1657</v>
      </c>
      <c r="H23" s="3">
        <v>39</v>
      </c>
      <c r="I23" s="3">
        <v>5.9</v>
      </c>
      <c r="J23" s="3">
        <v>0.78</v>
      </c>
      <c r="K23" s="3">
        <v>21000</v>
      </c>
      <c r="L23" s="3">
        <v>170000</v>
      </c>
      <c r="M23" s="3" t="s">
        <v>45</v>
      </c>
      <c r="N23" s="3" t="s">
        <v>39</v>
      </c>
      <c r="O23" s="3">
        <v>396</v>
      </c>
      <c r="P23" s="3">
        <v>30.6</v>
      </c>
      <c r="Q23" s="3" t="s">
        <v>40</v>
      </c>
      <c r="R23" s="3">
        <v>396</v>
      </c>
      <c r="S23" s="3">
        <v>372</v>
      </c>
      <c r="T23" s="3">
        <v>272</v>
      </c>
      <c r="U23" s="3">
        <v>26</v>
      </c>
      <c r="V23" s="3">
        <v>29</v>
      </c>
      <c r="W23" s="3">
        <v>516</v>
      </c>
      <c r="X23" s="3">
        <v>264</v>
      </c>
      <c r="Y23" s="3">
        <v>106</v>
      </c>
      <c r="Z23" s="3">
        <v>252</v>
      </c>
      <c r="AA23" s="3">
        <v>64</v>
      </c>
      <c r="AB23" s="3">
        <v>37</v>
      </c>
      <c r="AC23" s="3">
        <v>131</v>
      </c>
      <c r="AD23" s="3">
        <v>1124</v>
      </c>
      <c r="AE23" s="3">
        <v>38</v>
      </c>
      <c r="AF23" s="3">
        <v>0.9</v>
      </c>
      <c r="AG23" s="3" t="s">
        <v>42</v>
      </c>
      <c r="AH23" s="3">
        <v>11</v>
      </c>
      <c r="AI23" s="3">
        <v>0.64</v>
      </c>
      <c r="AJ23" s="3">
        <v>35</v>
      </c>
      <c r="AK23" s="3">
        <v>2.5</v>
      </c>
      <c r="AL23" s="3">
        <v>2.5</v>
      </c>
    </row>
    <row r="24" spans="1:46" s="3" customFormat="1" ht="19.95" customHeight="1" x14ac:dyDescent="0.3">
      <c r="A24" s="4">
        <v>45809</v>
      </c>
      <c r="B24" s="3" t="s">
        <v>35</v>
      </c>
      <c r="C24" s="3" t="s">
        <v>36</v>
      </c>
      <c r="D24" s="3">
        <v>20</v>
      </c>
      <c r="E24" s="3">
        <v>0.8</v>
      </c>
      <c r="F24" s="3">
        <v>7.7</v>
      </c>
      <c r="G24" s="3">
        <v>2200</v>
      </c>
      <c r="H24" s="3">
        <v>45</v>
      </c>
      <c r="I24" s="3">
        <v>8.4</v>
      </c>
      <c r="J24" s="3">
        <v>0.64</v>
      </c>
      <c r="K24" s="3">
        <v>2100</v>
      </c>
      <c r="L24" s="3">
        <v>17000</v>
      </c>
      <c r="M24" s="3" t="s">
        <v>45</v>
      </c>
      <c r="N24" s="3" t="s">
        <v>39</v>
      </c>
      <c r="O24" s="3">
        <v>508</v>
      </c>
      <c r="P24" s="3">
        <v>13.9</v>
      </c>
      <c r="Q24" s="3" t="s">
        <v>40</v>
      </c>
      <c r="R24" s="3">
        <v>508</v>
      </c>
      <c r="S24" s="3">
        <v>360</v>
      </c>
      <c r="T24" s="3">
        <v>256</v>
      </c>
      <c r="U24" s="3">
        <v>14</v>
      </c>
      <c r="V24" s="3">
        <v>10</v>
      </c>
      <c r="W24" s="3">
        <v>600</v>
      </c>
      <c r="X24" s="3">
        <v>304</v>
      </c>
      <c r="Y24" s="3">
        <v>122</v>
      </c>
      <c r="Z24" s="3">
        <v>296</v>
      </c>
      <c r="AA24" s="3">
        <v>72</v>
      </c>
      <c r="AB24" s="3">
        <v>90</v>
      </c>
      <c r="AC24" s="3">
        <v>182</v>
      </c>
      <c r="AD24" s="3">
        <v>1490</v>
      </c>
      <c r="AE24" s="3">
        <v>18</v>
      </c>
      <c r="AF24" s="3">
        <v>0.53</v>
      </c>
      <c r="AG24" s="3" t="s">
        <v>42</v>
      </c>
      <c r="AH24" s="3">
        <v>44</v>
      </c>
      <c r="AI24" s="3" t="s">
        <v>46</v>
      </c>
      <c r="AJ24" s="3">
        <v>37</v>
      </c>
      <c r="AK24" s="3">
        <v>3.23</v>
      </c>
      <c r="AL24" s="3">
        <v>1.52</v>
      </c>
    </row>
    <row r="25" spans="1:46" s="3" customFormat="1" ht="19.95" customHeight="1" x14ac:dyDescent="0.3">
      <c r="A25" s="4">
        <v>45839</v>
      </c>
      <c r="B25" s="3" t="s">
        <v>35</v>
      </c>
      <c r="C25" s="3" t="s">
        <v>36</v>
      </c>
      <c r="D25" s="3">
        <v>20</v>
      </c>
      <c r="E25" s="3">
        <v>0.8</v>
      </c>
      <c r="F25" s="3">
        <v>8</v>
      </c>
      <c r="G25" s="3">
        <v>2210</v>
      </c>
      <c r="H25" s="3">
        <v>34</v>
      </c>
      <c r="I25" s="3">
        <v>8.9</v>
      </c>
      <c r="J25" s="3">
        <v>0.75</v>
      </c>
      <c r="K25" s="3">
        <v>310</v>
      </c>
      <c r="L25" s="3">
        <v>2800</v>
      </c>
      <c r="M25" s="3" t="s">
        <v>45</v>
      </c>
      <c r="N25" s="3" t="s">
        <v>70</v>
      </c>
      <c r="O25" s="3">
        <v>384</v>
      </c>
      <c r="P25" s="3">
        <v>6.2</v>
      </c>
      <c r="Q25" s="3" t="s">
        <v>70</v>
      </c>
      <c r="R25" s="3">
        <v>384</v>
      </c>
      <c r="S25" s="3">
        <v>340</v>
      </c>
      <c r="T25" s="3">
        <v>240</v>
      </c>
      <c r="U25" s="3">
        <v>12</v>
      </c>
      <c r="V25" s="3">
        <v>9.9</v>
      </c>
      <c r="W25" s="3">
        <v>544</v>
      </c>
      <c r="X25" s="3">
        <v>276</v>
      </c>
      <c r="Y25" s="3">
        <v>110.4</v>
      </c>
      <c r="Z25" s="3">
        <v>268</v>
      </c>
      <c r="AA25" s="3">
        <v>65.2</v>
      </c>
      <c r="AB25" s="3">
        <v>26</v>
      </c>
      <c r="AC25" s="3">
        <v>172</v>
      </c>
      <c r="AD25" s="3">
        <v>1498</v>
      </c>
      <c r="AE25" s="3">
        <v>32</v>
      </c>
      <c r="AF25" s="3">
        <v>0.52</v>
      </c>
      <c r="AG25" s="3" t="s">
        <v>70</v>
      </c>
      <c r="AH25" s="3">
        <v>13</v>
      </c>
      <c r="AI25" s="3">
        <v>0.34</v>
      </c>
      <c r="AJ25" s="3">
        <v>40</v>
      </c>
      <c r="AK25" s="3">
        <v>3.2</v>
      </c>
      <c r="AL25" s="3">
        <v>1.49</v>
      </c>
    </row>
    <row r="26" spans="1:46" s="3" customFormat="1" ht="19.95" customHeight="1" x14ac:dyDescent="0.3"/>
    <row r="27" spans="1:46" s="3" customFormat="1" ht="19.95" customHeight="1" x14ac:dyDescent="0.3"/>
    <row r="28" spans="1:46" s="3" customFormat="1" ht="19.95" customHeight="1" x14ac:dyDescent="0.3"/>
    <row r="29" spans="1:46" s="3" customFormat="1" ht="19.95" customHeight="1" x14ac:dyDescent="0.3"/>
  </sheetData>
  <mergeCells count="1">
    <mergeCell ref="A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BF73-34C5-4358-87EA-C4E8C350C17A}">
  <dimension ref="A2:K29"/>
  <sheetViews>
    <sheetView workbookViewId="0">
      <selection activeCell="A2" sqref="A2:K25"/>
    </sheetView>
  </sheetViews>
  <sheetFormatPr defaultRowHeight="14.4" x14ac:dyDescent="0.3"/>
  <cols>
    <col min="1" max="1" width="11.33203125" customWidth="1"/>
    <col min="2" max="2" width="7.109375" customWidth="1"/>
    <col min="3" max="3" width="15.5546875" customWidth="1"/>
    <col min="4" max="4" width="11" customWidth="1"/>
    <col min="7" max="7" width="10.77734375" customWidth="1"/>
    <col min="11" max="11" width="11.77734375" customWidth="1"/>
  </cols>
  <sheetData>
    <row r="2" spans="1:11" ht="62.4" x14ac:dyDescent="0.3">
      <c r="A2" s="1" t="s">
        <v>0</v>
      </c>
      <c r="B2" s="1" t="s">
        <v>4</v>
      </c>
      <c r="C2" s="1" t="s">
        <v>5</v>
      </c>
      <c r="D2" s="1" t="s">
        <v>3</v>
      </c>
      <c r="E2" s="1" t="s">
        <v>6</v>
      </c>
      <c r="F2" s="1" t="s">
        <v>17</v>
      </c>
      <c r="G2" s="1" t="s">
        <v>25</v>
      </c>
      <c r="H2" s="1" t="s">
        <v>7</v>
      </c>
      <c r="I2" s="1" t="s">
        <v>8</v>
      </c>
      <c r="J2" s="1" t="s">
        <v>10</v>
      </c>
      <c r="K2" s="1" t="s">
        <v>13</v>
      </c>
    </row>
    <row r="3" spans="1:11" ht="15.6" x14ac:dyDescent="0.3">
      <c r="A3" s="4">
        <v>44927</v>
      </c>
      <c r="B3" s="3">
        <v>7.8</v>
      </c>
      <c r="C3" s="3">
        <v>1938</v>
      </c>
      <c r="D3" s="3" t="s">
        <v>37</v>
      </c>
      <c r="E3" s="3">
        <v>98</v>
      </c>
      <c r="F3" s="3">
        <v>356</v>
      </c>
      <c r="G3" s="3">
        <v>1354</v>
      </c>
      <c r="H3" s="3">
        <v>140000</v>
      </c>
      <c r="I3" s="3">
        <v>270000</v>
      </c>
      <c r="J3" s="3">
        <v>7.4</v>
      </c>
      <c r="K3" s="3">
        <v>16.399999999999999</v>
      </c>
    </row>
    <row r="4" spans="1:11" ht="15.6" x14ac:dyDescent="0.3">
      <c r="A4" s="4">
        <v>44958</v>
      </c>
      <c r="B4" s="3">
        <v>7.4</v>
      </c>
      <c r="C4" s="3">
        <v>2380</v>
      </c>
      <c r="D4" s="3" t="s">
        <v>37</v>
      </c>
      <c r="E4" s="3">
        <v>36</v>
      </c>
      <c r="F4" s="3">
        <v>295</v>
      </c>
      <c r="G4" s="3">
        <v>1622</v>
      </c>
      <c r="H4" s="3">
        <v>31000</v>
      </c>
      <c r="I4" s="3">
        <v>70000</v>
      </c>
      <c r="J4" s="3">
        <v>7.6</v>
      </c>
      <c r="K4" s="3">
        <v>26.9</v>
      </c>
    </row>
    <row r="5" spans="1:11" ht="15.6" x14ac:dyDescent="0.3">
      <c r="A5" s="4">
        <v>44986</v>
      </c>
      <c r="B5" s="3">
        <v>7.19</v>
      </c>
      <c r="C5" s="3">
        <v>2552</v>
      </c>
      <c r="D5" s="3" t="s">
        <v>37</v>
      </c>
      <c r="E5" s="3">
        <v>51</v>
      </c>
      <c r="F5" s="3">
        <v>354</v>
      </c>
      <c r="G5" s="3">
        <v>1736</v>
      </c>
      <c r="H5" s="3">
        <v>140000</v>
      </c>
      <c r="I5" s="3">
        <v>490000</v>
      </c>
      <c r="J5" s="3">
        <v>11</v>
      </c>
      <c r="K5" s="3">
        <v>14</v>
      </c>
    </row>
    <row r="6" spans="1:11" ht="15.6" x14ac:dyDescent="0.3">
      <c r="A6" s="4">
        <v>45108</v>
      </c>
      <c r="B6" s="3">
        <v>7</v>
      </c>
      <c r="C6" s="3">
        <v>2390</v>
      </c>
      <c r="D6" s="3" t="s">
        <v>37</v>
      </c>
      <c r="E6" s="3">
        <v>25</v>
      </c>
      <c r="F6" s="3">
        <v>313</v>
      </c>
      <c r="G6" s="3">
        <v>1630</v>
      </c>
      <c r="H6" s="3">
        <v>220000</v>
      </c>
      <c r="I6" s="3">
        <v>2400000</v>
      </c>
      <c r="J6" s="3">
        <v>7.3</v>
      </c>
      <c r="K6" s="3">
        <v>8.5</v>
      </c>
    </row>
    <row r="7" spans="1:11" ht="15.6" x14ac:dyDescent="0.3">
      <c r="A7" s="4">
        <v>45170</v>
      </c>
      <c r="B7" s="3">
        <v>6.8</v>
      </c>
      <c r="C7" s="3">
        <v>1813</v>
      </c>
      <c r="D7" s="3">
        <v>1.9</v>
      </c>
      <c r="E7" s="3">
        <v>29</v>
      </c>
      <c r="F7" s="3">
        <v>196</v>
      </c>
      <c r="G7" s="3">
        <v>1232</v>
      </c>
      <c r="H7" s="3">
        <v>3100</v>
      </c>
      <c r="I7" s="3">
        <v>35000</v>
      </c>
      <c r="J7" s="3">
        <v>5</v>
      </c>
      <c r="K7" s="3">
        <v>20.3</v>
      </c>
    </row>
    <row r="8" spans="1:11" ht="15.6" x14ac:dyDescent="0.3">
      <c r="A8" s="4">
        <v>45200</v>
      </c>
      <c r="B8" s="3">
        <v>7.3</v>
      </c>
      <c r="C8" s="3">
        <v>1180</v>
      </c>
      <c r="D8" s="3">
        <v>3.5</v>
      </c>
      <c r="E8" s="3">
        <v>10</v>
      </c>
      <c r="F8" s="3">
        <v>92</v>
      </c>
      <c r="G8" s="3">
        <v>810</v>
      </c>
      <c r="H8" s="3">
        <v>4300</v>
      </c>
      <c r="I8" s="3">
        <v>92000</v>
      </c>
      <c r="J8" s="3">
        <v>5.6</v>
      </c>
      <c r="K8" s="3">
        <v>12.8</v>
      </c>
    </row>
    <row r="9" spans="1:11" ht="15.6" x14ac:dyDescent="0.3">
      <c r="A9" s="4">
        <v>45261</v>
      </c>
      <c r="B9" s="3">
        <v>7.8</v>
      </c>
      <c r="C9" s="3">
        <v>1948</v>
      </c>
      <c r="D9" s="3">
        <v>2</v>
      </c>
      <c r="E9" s="3">
        <v>18</v>
      </c>
      <c r="F9" s="3">
        <v>117</v>
      </c>
      <c r="G9" s="3">
        <v>1328</v>
      </c>
      <c r="H9" s="3">
        <v>230000</v>
      </c>
      <c r="I9" s="3">
        <v>2400000</v>
      </c>
      <c r="J9" s="3">
        <v>8.6</v>
      </c>
      <c r="K9" s="3">
        <v>9.8000000000000007</v>
      </c>
    </row>
    <row r="10" spans="1:11" ht="15.6" x14ac:dyDescent="0.3">
      <c r="A10" s="4">
        <v>45383</v>
      </c>
      <c r="B10" s="3">
        <v>7.1</v>
      </c>
      <c r="C10" s="3">
        <v>2273</v>
      </c>
      <c r="D10" s="3" t="s">
        <v>37</v>
      </c>
      <c r="E10" s="3">
        <v>75</v>
      </c>
      <c r="F10" s="3">
        <v>250</v>
      </c>
      <c r="G10" s="3">
        <v>1548</v>
      </c>
      <c r="H10" s="3">
        <v>1400</v>
      </c>
      <c r="I10" s="3">
        <v>4900</v>
      </c>
      <c r="J10" s="3">
        <v>9.9</v>
      </c>
      <c r="K10" s="3">
        <v>32</v>
      </c>
    </row>
    <row r="11" spans="1:11" ht="15.6" x14ac:dyDescent="0.3">
      <c r="A11" s="4">
        <v>45413</v>
      </c>
      <c r="B11" s="3">
        <v>6.8</v>
      </c>
      <c r="C11" s="3">
        <v>1614</v>
      </c>
      <c r="D11" s="3">
        <v>0.5</v>
      </c>
      <c r="E11" s="3">
        <v>39</v>
      </c>
      <c r="F11" s="3">
        <v>200</v>
      </c>
      <c r="G11" s="3">
        <v>1064</v>
      </c>
      <c r="H11" s="3">
        <v>17000</v>
      </c>
      <c r="I11" s="3">
        <v>48000</v>
      </c>
      <c r="J11" s="3">
        <v>2.84</v>
      </c>
      <c r="K11" s="3">
        <v>3.9</v>
      </c>
    </row>
    <row r="12" spans="1:11" ht="15.6" x14ac:dyDescent="0.3">
      <c r="A12" s="4">
        <v>45444</v>
      </c>
      <c r="B12" s="3">
        <v>7</v>
      </c>
      <c r="C12" s="3">
        <v>2081</v>
      </c>
      <c r="D12" s="3" t="s">
        <v>37</v>
      </c>
      <c r="E12" s="3">
        <v>26</v>
      </c>
      <c r="F12" s="3">
        <v>210</v>
      </c>
      <c r="G12" s="3">
        <v>1412</v>
      </c>
      <c r="H12" s="3">
        <v>92000</v>
      </c>
      <c r="I12" s="3">
        <v>460000</v>
      </c>
      <c r="J12" s="3">
        <v>7.2</v>
      </c>
      <c r="K12" s="3">
        <v>20.100000000000001</v>
      </c>
    </row>
    <row r="13" spans="1:11" ht="15.6" x14ac:dyDescent="0.3">
      <c r="A13" s="4">
        <v>45474</v>
      </c>
      <c r="B13" s="3">
        <v>6.9</v>
      </c>
      <c r="C13" s="3">
        <v>2055</v>
      </c>
      <c r="D13" s="3" t="s">
        <v>37</v>
      </c>
      <c r="E13" s="3">
        <v>45</v>
      </c>
      <c r="F13" s="3">
        <v>252</v>
      </c>
      <c r="G13" s="3">
        <v>1376</v>
      </c>
      <c r="H13" s="3">
        <v>2100</v>
      </c>
      <c r="I13" s="3">
        <v>13000</v>
      </c>
      <c r="J13" s="3">
        <v>8.2899999999999991</v>
      </c>
      <c r="K13" s="3">
        <v>30.6</v>
      </c>
    </row>
    <row r="14" spans="1:11" ht="15.6" x14ac:dyDescent="0.3">
      <c r="A14" s="4">
        <v>45505</v>
      </c>
      <c r="B14" s="3">
        <v>6.9</v>
      </c>
      <c r="C14" s="3">
        <v>705</v>
      </c>
      <c r="D14" s="3">
        <v>2.9</v>
      </c>
      <c r="E14" s="3">
        <v>28</v>
      </c>
      <c r="F14" s="3">
        <v>184</v>
      </c>
      <c r="G14" s="3">
        <v>474</v>
      </c>
      <c r="H14" s="3">
        <v>840</v>
      </c>
      <c r="I14" s="3">
        <v>9200</v>
      </c>
      <c r="J14" s="3">
        <v>2.5</v>
      </c>
      <c r="K14" s="3">
        <v>9.6</v>
      </c>
    </row>
    <row r="15" spans="1:11" ht="15.6" x14ac:dyDescent="0.3">
      <c r="A15" s="4">
        <v>45536</v>
      </c>
      <c r="B15" s="3">
        <v>7.4</v>
      </c>
      <c r="C15" s="3">
        <v>1910</v>
      </c>
      <c r="D15" s="3">
        <v>0.7</v>
      </c>
      <c r="E15" s="3">
        <v>41</v>
      </c>
      <c r="F15" s="3">
        <v>204</v>
      </c>
      <c r="G15" s="3">
        <v>1308</v>
      </c>
      <c r="H15" s="3">
        <v>110000</v>
      </c>
      <c r="I15" s="3">
        <v>490000</v>
      </c>
      <c r="J15" s="3">
        <v>5.9</v>
      </c>
      <c r="K15" s="3">
        <v>60</v>
      </c>
    </row>
    <row r="16" spans="1:11" ht="15.6" x14ac:dyDescent="0.3">
      <c r="A16" s="4">
        <v>45566</v>
      </c>
      <c r="B16" s="3">
        <v>6.9</v>
      </c>
      <c r="C16" s="3">
        <v>1873</v>
      </c>
      <c r="D16" s="3" t="s">
        <v>37</v>
      </c>
      <c r="E16" s="3">
        <v>79</v>
      </c>
      <c r="F16" s="3">
        <v>372</v>
      </c>
      <c r="G16" s="3">
        <v>1284</v>
      </c>
      <c r="H16" s="3">
        <v>1100000</v>
      </c>
      <c r="I16" s="3">
        <v>4900000</v>
      </c>
      <c r="J16" s="3">
        <v>4.7</v>
      </c>
      <c r="K16" s="3">
        <v>36.4</v>
      </c>
    </row>
    <row r="17" spans="1:11" ht="15.6" x14ac:dyDescent="0.3">
      <c r="A17" s="4">
        <v>45597</v>
      </c>
      <c r="B17" s="3">
        <v>7.9</v>
      </c>
      <c r="C17" s="3">
        <v>1996</v>
      </c>
      <c r="D17" s="3">
        <v>2.2000000000000002</v>
      </c>
      <c r="E17" s="3">
        <v>27</v>
      </c>
      <c r="F17" s="3">
        <v>170</v>
      </c>
      <c r="G17" s="3">
        <v>1357</v>
      </c>
      <c r="H17" s="3">
        <v>11000</v>
      </c>
      <c r="I17" s="3">
        <v>46000</v>
      </c>
      <c r="J17" s="3">
        <v>0.7</v>
      </c>
      <c r="K17" s="3">
        <v>33</v>
      </c>
    </row>
    <row r="18" spans="1:11" ht="15.6" x14ac:dyDescent="0.3">
      <c r="A18" s="4">
        <v>45627</v>
      </c>
      <c r="B18" s="3">
        <v>7.2</v>
      </c>
      <c r="C18" s="3">
        <v>2120</v>
      </c>
      <c r="D18" s="3" t="s">
        <v>37</v>
      </c>
      <c r="E18" s="3">
        <v>7</v>
      </c>
      <c r="F18" s="3">
        <v>332</v>
      </c>
      <c r="G18" s="3">
        <v>1456</v>
      </c>
      <c r="H18" s="3">
        <v>14000</v>
      </c>
      <c r="I18" s="3">
        <v>70000</v>
      </c>
      <c r="J18" s="3">
        <v>9.5</v>
      </c>
      <c r="K18" s="3">
        <v>38</v>
      </c>
    </row>
    <row r="19" spans="1:11" ht="15.6" x14ac:dyDescent="0.3">
      <c r="A19" s="4">
        <v>45658</v>
      </c>
      <c r="B19" s="3">
        <v>7.5</v>
      </c>
      <c r="C19" s="3">
        <v>2880</v>
      </c>
      <c r="D19" s="3" t="s">
        <v>37</v>
      </c>
      <c r="E19" s="3">
        <v>62</v>
      </c>
      <c r="F19" s="3">
        <v>244</v>
      </c>
      <c r="G19" s="3">
        <v>1600</v>
      </c>
      <c r="H19" s="3">
        <v>17000</v>
      </c>
      <c r="I19" s="3">
        <v>70000</v>
      </c>
      <c r="J19" s="3">
        <v>9</v>
      </c>
      <c r="K19" s="3">
        <v>80.400000000000006</v>
      </c>
    </row>
    <row r="20" spans="1:11" ht="15.6" x14ac:dyDescent="0.3">
      <c r="A20" s="4">
        <v>45689</v>
      </c>
      <c r="B20" s="3">
        <v>7.7</v>
      </c>
      <c r="C20" s="3">
        <v>1368</v>
      </c>
      <c r="D20" s="3" t="s">
        <v>37</v>
      </c>
      <c r="E20" s="3">
        <v>25</v>
      </c>
      <c r="F20" s="3">
        <v>274</v>
      </c>
      <c r="G20" s="3">
        <v>936</v>
      </c>
      <c r="H20" s="3">
        <v>1100</v>
      </c>
      <c r="I20" s="3">
        <v>4900</v>
      </c>
      <c r="J20" s="3">
        <v>5.25</v>
      </c>
      <c r="K20" s="3">
        <v>15.8</v>
      </c>
    </row>
    <row r="21" spans="1:11" ht="15.6" x14ac:dyDescent="0.3">
      <c r="A21" s="4">
        <v>45717</v>
      </c>
      <c r="B21" s="3">
        <v>7.6</v>
      </c>
      <c r="C21" s="3">
        <v>1847</v>
      </c>
      <c r="D21" s="3">
        <v>2.1</v>
      </c>
      <c r="E21" s="3">
        <v>28</v>
      </c>
      <c r="F21" s="3">
        <v>201</v>
      </c>
      <c r="G21" s="3">
        <v>1256</v>
      </c>
      <c r="H21" s="3">
        <v>21000</v>
      </c>
      <c r="I21" s="3">
        <v>70000</v>
      </c>
      <c r="J21" s="3">
        <v>5.4</v>
      </c>
      <c r="K21" s="3">
        <v>7.2</v>
      </c>
    </row>
    <row r="22" spans="1:11" ht="15.6" x14ac:dyDescent="0.3">
      <c r="A22" s="4">
        <v>45748</v>
      </c>
      <c r="B22" s="3">
        <v>6.9</v>
      </c>
      <c r="C22" s="3">
        <v>1498</v>
      </c>
      <c r="D22" s="3">
        <v>5.3</v>
      </c>
      <c r="E22" s="3">
        <v>5</v>
      </c>
      <c r="F22" s="3">
        <v>56</v>
      </c>
      <c r="G22" s="3">
        <v>1020</v>
      </c>
      <c r="H22" s="3">
        <v>210</v>
      </c>
      <c r="I22" s="3">
        <v>1200</v>
      </c>
      <c r="J22" s="3">
        <v>5.8</v>
      </c>
      <c r="K22" s="3">
        <v>22.3</v>
      </c>
    </row>
    <row r="23" spans="1:11" ht="15.6" x14ac:dyDescent="0.3">
      <c r="A23" s="4">
        <v>45778</v>
      </c>
      <c r="B23" s="3">
        <v>7.4</v>
      </c>
      <c r="C23" s="3">
        <v>1657</v>
      </c>
      <c r="D23" s="3" t="s">
        <v>37</v>
      </c>
      <c r="E23" s="3">
        <v>39</v>
      </c>
      <c r="F23" s="3">
        <v>272</v>
      </c>
      <c r="G23" s="3">
        <v>1124</v>
      </c>
      <c r="H23" s="3">
        <v>21000</v>
      </c>
      <c r="I23" s="3">
        <v>170000</v>
      </c>
      <c r="J23" s="3">
        <v>5.9</v>
      </c>
      <c r="K23" s="3">
        <v>30.6</v>
      </c>
    </row>
    <row r="24" spans="1:11" ht="15.6" x14ac:dyDescent="0.3">
      <c r="A24" s="4">
        <v>45809</v>
      </c>
      <c r="B24" s="3">
        <v>7.7</v>
      </c>
      <c r="C24" s="3">
        <v>2200</v>
      </c>
      <c r="D24" s="3">
        <v>0.8</v>
      </c>
      <c r="E24" s="3">
        <v>45</v>
      </c>
      <c r="F24" s="3">
        <v>256</v>
      </c>
      <c r="G24" s="3">
        <v>1490</v>
      </c>
      <c r="H24" s="3">
        <v>2100</v>
      </c>
      <c r="I24" s="3">
        <v>17000</v>
      </c>
      <c r="J24" s="3">
        <v>8.4</v>
      </c>
      <c r="K24" s="3">
        <v>13.9</v>
      </c>
    </row>
    <row r="25" spans="1:11" ht="15.6" x14ac:dyDescent="0.3">
      <c r="A25" s="4">
        <v>45839</v>
      </c>
      <c r="B25" s="3">
        <v>8</v>
      </c>
      <c r="C25" s="3">
        <v>2210</v>
      </c>
      <c r="D25" s="3">
        <v>0.8</v>
      </c>
      <c r="E25" s="3">
        <v>34</v>
      </c>
      <c r="F25" s="3">
        <v>240</v>
      </c>
      <c r="G25" s="3">
        <v>1498</v>
      </c>
      <c r="H25" s="3">
        <v>310</v>
      </c>
      <c r="I25" s="3">
        <v>2800</v>
      </c>
      <c r="J25" s="3">
        <v>8.9</v>
      </c>
      <c r="K25" s="3">
        <v>6.2</v>
      </c>
    </row>
    <row r="26" spans="1:11" ht="15.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.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596-DD66-413F-814B-A1B56A2D5CAB}">
  <dimension ref="A1:W18"/>
  <sheetViews>
    <sheetView workbookViewId="0">
      <selection activeCell="D14" sqref="D14"/>
    </sheetView>
  </sheetViews>
  <sheetFormatPr defaultRowHeight="14.4" x14ac:dyDescent="0.3"/>
  <cols>
    <col min="1" max="1" width="7.77734375" style="10" customWidth="1"/>
    <col min="2" max="2" width="3.6640625" style="10" customWidth="1"/>
    <col min="3" max="3" width="6.33203125" style="10" customWidth="1"/>
    <col min="4" max="4" width="7.109375" style="10" customWidth="1"/>
    <col min="5" max="5" width="5.44140625" style="10" customWidth="1"/>
    <col min="6" max="6" width="4.88671875" style="10" customWidth="1"/>
    <col min="7" max="7" width="5.5546875" style="10" customWidth="1"/>
    <col min="8" max="8" width="6.21875" style="10" customWidth="1"/>
    <col min="9" max="10" width="5.21875" style="10" customWidth="1"/>
    <col min="11" max="11" width="6.44140625" style="10" customWidth="1"/>
    <col min="13" max="13" width="7.21875" style="10" customWidth="1"/>
    <col min="14" max="14" width="4.21875" style="10" customWidth="1"/>
    <col min="15" max="15" width="6.33203125" style="10" customWidth="1"/>
    <col min="16" max="16" width="7.33203125" style="10" customWidth="1"/>
    <col min="17" max="17" width="5.33203125" style="10" customWidth="1"/>
    <col min="18" max="18" width="5.6640625" style="10" customWidth="1"/>
    <col min="19" max="19" width="6.77734375" style="10" customWidth="1"/>
    <col min="20" max="20" width="7" style="10" customWidth="1"/>
    <col min="21" max="21" width="6.6640625" style="10" customWidth="1"/>
    <col min="22" max="22" width="5.109375" style="10" customWidth="1"/>
    <col min="23" max="23" width="7.33203125" style="10" customWidth="1"/>
  </cols>
  <sheetData>
    <row r="1" spans="1:23" ht="19.2" customHeight="1" x14ac:dyDescent="0.3">
      <c r="A1" s="22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M1" s="22" t="s">
        <v>72</v>
      </c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s="20" customFormat="1" ht="30.6" x14ac:dyDescent="0.2">
      <c r="A2" s="19" t="s">
        <v>75</v>
      </c>
      <c r="B2" s="19" t="s">
        <v>4</v>
      </c>
      <c r="C2" s="19" t="s">
        <v>76</v>
      </c>
      <c r="D2" s="19" t="s">
        <v>80</v>
      </c>
      <c r="E2" s="19" t="s">
        <v>6</v>
      </c>
      <c r="F2" s="19" t="s">
        <v>17</v>
      </c>
      <c r="G2" s="19" t="s">
        <v>77</v>
      </c>
      <c r="H2" s="19" t="s">
        <v>78</v>
      </c>
      <c r="I2" s="19" t="s">
        <v>79</v>
      </c>
      <c r="J2" s="19" t="s">
        <v>10</v>
      </c>
      <c r="K2" s="19" t="s">
        <v>13</v>
      </c>
      <c r="M2" s="19" t="s">
        <v>75</v>
      </c>
      <c r="N2" s="19" t="s">
        <v>4</v>
      </c>
      <c r="O2" s="19" t="s">
        <v>76</v>
      </c>
      <c r="P2" s="19" t="s">
        <v>3</v>
      </c>
      <c r="Q2" s="19" t="s">
        <v>6</v>
      </c>
      <c r="R2" s="19" t="s">
        <v>17</v>
      </c>
      <c r="S2" s="19" t="s">
        <v>77</v>
      </c>
      <c r="T2" s="19" t="s">
        <v>78</v>
      </c>
      <c r="U2" s="19" t="s">
        <v>79</v>
      </c>
      <c r="V2" s="19" t="s">
        <v>10</v>
      </c>
      <c r="W2" s="19" t="s">
        <v>13</v>
      </c>
    </row>
    <row r="3" spans="1:23" x14ac:dyDescent="0.3">
      <c r="A3" s="17">
        <v>44958</v>
      </c>
      <c r="B3" s="18">
        <v>7.4</v>
      </c>
      <c r="C3" s="18">
        <v>2380</v>
      </c>
      <c r="D3" s="18" t="s">
        <v>37</v>
      </c>
      <c r="E3" s="18">
        <v>36</v>
      </c>
      <c r="F3" s="18">
        <v>295</v>
      </c>
      <c r="G3" s="18">
        <v>1622</v>
      </c>
      <c r="H3" s="18">
        <v>31000</v>
      </c>
      <c r="I3" s="18">
        <v>70000</v>
      </c>
      <c r="J3" s="18">
        <v>7.6</v>
      </c>
      <c r="K3" s="18">
        <v>26.9</v>
      </c>
      <c r="M3" s="17">
        <v>45170</v>
      </c>
      <c r="N3" s="18">
        <v>6.8</v>
      </c>
      <c r="O3" s="18">
        <v>1813</v>
      </c>
      <c r="P3" s="18">
        <v>1.9</v>
      </c>
      <c r="Q3" s="18">
        <v>29</v>
      </c>
      <c r="R3" s="18">
        <v>196</v>
      </c>
      <c r="S3" s="18">
        <v>1232</v>
      </c>
      <c r="T3" s="18">
        <v>3100</v>
      </c>
      <c r="U3" s="18">
        <v>35000</v>
      </c>
      <c r="V3" s="18">
        <v>5</v>
      </c>
      <c r="W3" s="18">
        <v>20.3</v>
      </c>
    </row>
    <row r="4" spans="1:23" x14ac:dyDescent="0.3">
      <c r="A4" s="17">
        <v>44986</v>
      </c>
      <c r="B4" s="18">
        <v>7.19</v>
      </c>
      <c r="C4" s="18">
        <v>2552</v>
      </c>
      <c r="D4" s="18" t="s">
        <v>37</v>
      </c>
      <c r="E4" s="18">
        <v>51</v>
      </c>
      <c r="F4" s="18">
        <v>354</v>
      </c>
      <c r="G4" s="18">
        <v>1736</v>
      </c>
      <c r="H4" s="18">
        <v>140000</v>
      </c>
      <c r="I4" s="18">
        <v>490000</v>
      </c>
      <c r="J4" s="18">
        <v>11</v>
      </c>
      <c r="K4" s="18">
        <v>14</v>
      </c>
      <c r="M4" s="17">
        <v>45200</v>
      </c>
      <c r="N4" s="18">
        <v>7.3</v>
      </c>
      <c r="O4" s="18">
        <v>1180</v>
      </c>
      <c r="P4" s="18">
        <v>3.5</v>
      </c>
      <c r="Q4" s="18">
        <v>10</v>
      </c>
      <c r="R4" s="18">
        <v>92</v>
      </c>
      <c r="S4" s="18">
        <v>810</v>
      </c>
      <c r="T4" s="18">
        <v>4300</v>
      </c>
      <c r="U4" s="18">
        <v>92000</v>
      </c>
      <c r="V4" s="18">
        <v>5.6</v>
      </c>
      <c r="W4" s="18">
        <v>12.8</v>
      </c>
    </row>
    <row r="5" spans="1:23" x14ac:dyDescent="0.3">
      <c r="A5" s="17">
        <v>45017</v>
      </c>
      <c r="B5" s="18">
        <v>7.25</v>
      </c>
      <c r="C5" s="18">
        <v>2458</v>
      </c>
      <c r="D5" s="18" t="s">
        <v>37</v>
      </c>
      <c r="E5" s="18">
        <v>62</v>
      </c>
      <c r="F5" s="18">
        <v>286</v>
      </c>
      <c r="G5" s="18">
        <v>1458</v>
      </c>
      <c r="H5" s="18">
        <v>115000</v>
      </c>
      <c r="I5" s="18">
        <v>285000</v>
      </c>
      <c r="J5" s="18">
        <v>8.6999999999999993</v>
      </c>
      <c r="K5" s="18">
        <v>19</v>
      </c>
      <c r="M5" s="17">
        <v>45231</v>
      </c>
      <c r="N5" s="18">
        <v>7.5</v>
      </c>
      <c r="O5" s="18">
        <v>1537</v>
      </c>
      <c r="P5" s="18">
        <v>3</v>
      </c>
      <c r="Q5" s="18">
        <v>15</v>
      </c>
      <c r="R5" s="18">
        <v>105</v>
      </c>
      <c r="S5" s="18">
        <v>984</v>
      </c>
      <c r="T5" s="18">
        <v>82000</v>
      </c>
      <c r="U5" s="18">
        <v>150000</v>
      </c>
      <c r="V5" s="18">
        <v>6.9</v>
      </c>
      <c r="W5" s="18">
        <v>10.5</v>
      </c>
    </row>
    <row r="6" spans="1:23" x14ac:dyDescent="0.3">
      <c r="A6" s="17">
        <v>45047</v>
      </c>
      <c r="B6" s="18">
        <v>7.3</v>
      </c>
      <c r="C6" s="18">
        <v>1629</v>
      </c>
      <c r="D6" s="18" t="s">
        <v>37</v>
      </c>
      <c r="E6" s="18">
        <v>31</v>
      </c>
      <c r="F6" s="18">
        <v>254</v>
      </c>
      <c r="G6" s="18">
        <v>1269</v>
      </c>
      <c r="H6" s="18">
        <v>80000</v>
      </c>
      <c r="I6" s="18">
        <v>130000</v>
      </c>
      <c r="J6" s="18">
        <v>5.6</v>
      </c>
      <c r="K6" s="18">
        <v>20</v>
      </c>
      <c r="M6" s="17">
        <v>45261</v>
      </c>
      <c r="N6" s="18">
        <v>7.8</v>
      </c>
      <c r="O6" s="18">
        <v>1948</v>
      </c>
      <c r="P6" s="18">
        <v>2</v>
      </c>
      <c r="Q6" s="18">
        <v>18</v>
      </c>
      <c r="R6" s="18">
        <v>117</v>
      </c>
      <c r="S6" s="18">
        <v>1328</v>
      </c>
      <c r="T6" s="18">
        <v>230000</v>
      </c>
      <c r="U6" s="18">
        <v>2400000</v>
      </c>
      <c r="V6" s="18">
        <v>8.6</v>
      </c>
      <c r="W6" s="18">
        <v>9.8000000000000007</v>
      </c>
    </row>
    <row r="7" spans="1:23" x14ac:dyDescent="0.3">
      <c r="A7" s="17">
        <v>45323</v>
      </c>
      <c r="B7" s="18">
        <v>7.5</v>
      </c>
      <c r="C7" s="18">
        <v>1786</v>
      </c>
      <c r="D7" s="18" t="s">
        <v>37</v>
      </c>
      <c r="E7" s="18">
        <v>38</v>
      </c>
      <c r="F7" s="18">
        <v>235</v>
      </c>
      <c r="G7" s="18">
        <v>1384</v>
      </c>
      <c r="H7" s="18">
        <v>7000</v>
      </c>
      <c r="I7" s="18">
        <v>30000</v>
      </c>
      <c r="J7" s="18">
        <v>8.6999999999999993</v>
      </c>
      <c r="K7" s="18">
        <v>9</v>
      </c>
      <c r="M7" s="17">
        <v>45536</v>
      </c>
      <c r="N7" s="18">
        <v>7.4</v>
      </c>
      <c r="O7" s="18">
        <v>1910</v>
      </c>
      <c r="P7" s="18">
        <v>0.7</v>
      </c>
      <c r="Q7" s="18">
        <v>41</v>
      </c>
      <c r="R7" s="18">
        <v>204</v>
      </c>
      <c r="S7" s="18">
        <v>1308</v>
      </c>
      <c r="T7" s="18">
        <v>110000</v>
      </c>
      <c r="U7" s="18">
        <v>490000</v>
      </c>
      <c r="V7" s="18">
        <v>5.9</v>
      </c>
      <c r="W7" s="18">
        <v>60</v>
      </c>
    </row>
    <row r="8" spans="1:23" x14ac:dyDescent="0.3">
      <c r="A8" s="17">
        <v>45352</v>
      </c>
      <c r="B8" s="18">
        <v>7.4</v>
      </c>
      <c r="C8" s="18">
        <v>2175</v>
      </c>
      <c r="D8" s="18" t="s">
        <v>37</v>
      </c>
      <c r="E8" s="18">
        <v>48</v>
      </c>
      <c r="F8" s="18">
        <v>214</v>
      </c>
      <c r="G8" s="18">
        <v>1057</v>
      </c>
      <c r="H8" s="18">
        <v>3000</v>
      </c>
      <c r="I8" s="18">
        <v>10000</v>
      </c>
      <c r="J8" s="18">
        <v>6.5</v>
      </c>
      <c r="K8" s="18">
        <v>24</v>
      </c>
      <c r="M8" s="17">
        <v>45566</v>
      </c>
      <c r="N8" s="18">
        <v>6.9</v>
      </c>
      <c r="O8" s="18">
        <v>1873</v>
      </c>
      <c r="P8" s="18" t="s">
        <v>37</v>
      </c>
      <c r="Q8" s="18">
        <v>79</v>
      </c>
      <c r="R8" s="18">
        <v>372</v>
      </c>
      <c r="S8" s="18">
        <v>1284</v>
      </c>
      <c r="T8" s="18">
        <v>1100000</v>
      </c>
      <c r="U8" s="18">
        <v>4900000</v>
      </c>
      <c r="V8" s="18">
        <v>4.7</v>
      </c>
      <c r="W8" s="18">
        <v>36.4</v>
      </c>
    </row>
    <row r="9" spans="1:23" x14ac:dyDescent="0.3">
      <c r="A9" s="17">
        <v>45383</v>
      </c>
      <c r="B9" s="18">
        <v>7.1</v>
      </c>
      <c r="C9" s="18">
        <v>2273</v>
      </c>
      <c r="D9" s="18" t="s">
        <v>37</v>
      </c>
      <c r="E9" s="18">
        <v>75</v>
      </c>
      <c r="F9" s="18">
        <v>250</v>
      </c>
      <c r="G9" s="18">
        <v>1548</v>
      </c>
      <c r="H9" s="18">
        <v>1400</v>
      </c>
      <c r="I9" s="18">
        <v>4900</v>
      </c>
      <c r="J9" s="18">
        <v>9.9</v>
      </c>
      <c r="K9" s="18">
        <v>32</v>
      </c>
      <c r="M9" s="17">
        <v>45597</v>
      </c>
      <c r="N9" s="18">
        <v>7.9</v>
      </c>
      <c r="O9" s="18">
        <v>1996</v>
      </c>
      <c r="P9" s="18">
        <v>2.2000000000000002</v>
      </c>
      <c r="Q9" s="18">
        <v>27</v>
      </c>
      <c r="R9" s="18">
        <v>170</v>
      </c>
      <c r="S9" s="18">
        <v>1357</v>
      </c>
      <c r="T9" s="18">
        <v>11000</v>
      </c>
      <c r="U9" s="18">
        <v>46000</v>
      </c>
      <c r="V9" s="18">
        <v>0.7</v>
      </c>
      <c r="W9" s="18">
        <v>33</v>
      </c>
    </row>
    <row r="10" spans="1:23" x14ac:dyDescent="0.3">
      <c r="A10" s="17">
        <v>45413</v>
      </c>
      <c r="B10" s="18">
        <v>6.8</v>
      </c>
      <c r="C10" s="18">
        <v>1614</v>
      </c>
      <c r="D10" s="18">
        <v>0.5</v>
      </c>
      <c r="E10" s="18">
        <v>39</v>
      </c>
      <c r="F10" s="18">
        <v>200</v>
      </c>
      <c r="G10" s="18">
        <v>1064</v>
      </c>
      <c r="H10" s="18">
        <v>17000</v>
      </c>
      <c r="I10" s="18">
        <v>48000</v>
      </c>
      <c r="J10" s="18">
        <v>2.84</v>
      </c>
      <c r="K10" s="18">
        <v>3.9</v>
      </c>
      <c r="M10" s="17">
        <v>45627</v>
      </c>
      <c r="N10" s="18">
        <v>7.2</v>
      </c>
      <c r="O10" s="18">
        <v>2120</v>
      </c>
      <c r="P10" s="18" t="s">
        <v>37</v>
      </c>
      <c r="Q10" s="18">
        <v>7</v>
      </c>
      <c r="R10" s="18">
        <v>332</v>
      </c>
      <c r="S10" s="18">
        <v>1456</v>
      </c>
      <c r="T10" s="18">
        <v>14000</v>
      </c>
      <c r="U10" s="18">
        <v>70000</v>
      </c>
      <c r="V10" s="18">
        <v>9.5</v>
      </c>
      <c r="W10" s="18">
        <v>38</v>
      </c>
    </row>
    <row r="11" spans="1:23" x14ac:dyDescent="0.3">
      <c r="A11" s="17">
        <v>45689</v>
      </c>
      <c r="B11" s="18">
        <v>7.7</v>
      </c>
      <c r="C11" s="18">
        <v>1368</v>
      </c>
      <c r="D11" s="18" t="s">
        <v>37</v>
      </c>
      <c r="E11" s="18">
        <v>25</v>
      </c>
      <c r="F11" s="18">
        <v>274</v>
      </c>
      <c r="G11" s="18">
        <v>936</v>
      </c>
      <c r="H11" s="18">
        <v>1100</v>
      </c>
      <c r="I11" s="18">
        <v>4900</v>
      </c>
      <c r="J11" s="18">
        <v>5.25</v>
      </c>
      <c r="K11" s="18">
        <v>15.8</v>
      </c>
      <c r="M11" s="17">
        <v>45809</v>
      </c>
      <c r="N11" s="18">
        <v>7.7</v>
      </c>
      <c r="O11" s="18">
        <v>2200</v>
      </c>
      <c r="P11" s="18">
        <v>0.8</v>
      </c>
      <c r="Q11" s="18">
        <v>45</v>
      </c>
      <c r="R11" s="18">
        <v>256</v>
      </c>
      <c r="S11" s="18">
        <v>1490</v>
      </c>
      <c r="T11" s="18">
        <v>2100</v>
      </c>
      <c r="U11" s="18">
        <v>17000</v>
      </c>
      <c r="V11" s="18">
        <v>8.4</v>
      </c>
      <c r="W11" s="18">
        <v>13.9</v>
      </c>
    </row>
    <row r="12" spans="1:23" x14ac:dyDescent="0.3">
      <c r="A12" s="17">
        <v>45717</v>
      </c>
      <c r="B12" s="18">
        <v>7.6</v>
      </c>
      <c r="C12" s="18">
        <v>1847</v>
      </c>
      <c r="D12" s="18">
        <v>2.1</v>
      </c>
      <c r="E12" s="18">
        <v>28</v>
      </c>
      <c r="F12" s="18">
        <v>201</v>
      </c>
      <c r="G12" s="18">
        <v>1256</v>
      </c>
      <c r="H12" s="18">
        <v>21000</v>
      </c>
      <c r="I12" s="18">
        <v>70000</v>
      </c>
      <c r="J12" s="18">
        <v>5.4</v>
      </c>
      <c r="K12" s="18">
        <v>7.2</v>
      </c>
      <c r="M12" s="17">
        <v>45839</v>
      </c>
      <c r="N12" s="18">
        <v>8</v>
      </c>
      <c r="O12" s="18">
        <v>2210</v>
      </c>
      <c r="P12" s="18">
        <v>0.8</v>
      </c>
      <c r="Q12" s="18">
        <v>34</v>
      </c>
      <c r="R12" s="18">
        <v>240</v>
      </c>
      <c r="S12" s="18">
        <v>1498</v>
      </c>
      <c r="T12" s="18">
        <v>310</v>
      </c>
      <c r="U12" s="18">
        <v>2800</v>
      </c>
      <c r="V12" s="18">
        <v>8.9</v>
      </c>
      <c r="W12" s="18">
        <v>6.2</v>
      </c>
    </row>
    <row r="13" spans="1:23" ht="15.6" x14ac:dyDescent="0.3">
      <c r="A13" s="17">
        <v>45748</v>
      </c>
      <c r="B13" s="18">
        <v>6.9</v>
      </c>
      <c r="C13" s="18">
        <v>1498</v>
      </c>
      <c r="D13" s="18">
        <v>5.3</v>
      </c>
      <c r="E13" s="18">
        <v>5</v>
      </c>
      <c r="F13" s="18">
        <v>56</v>
      </c>
      <c r="G13" s="18">
        <v>1020</v>
      </c>
      <c r="H13" s="18">
        <v>210</v>
      </c>
      <c r="I13" s="18">
        <v>1200</v>
      </c>
      <c r="J13" s="18">
        <v>5.8</v>
      </c>
      <c r="K13" s="18">
        <v>22.3</v>
      </c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5.6" x14ac:dyDescent="0.3">
      <c r="A14" s="17">
        <v>45778</v>
      </c>
      <c r="B14" s="18">
        <v>7.4</v>
      </c>
      <c r="C14" s="18">
        <v>1657</v>
      </c>
      <c r="D14" s="18" t="s">
        <v>37</v>
      </c>
      <c r="E14" s="18">
        <v>39</v>
      </c>
      <c r="F14" s="18">
        <v>272</v>
      </c>
      <c r="G14" s="18">
        <v>1124</v>
      </c>
      <c r="H14" s="18">
        <v>21000</v>
      </c>
      <c r="I14" s="18">
        <v>170000</v>
      </c>
      <c r="J14" s="18">
        <v>5.9</v>
      </c>
      <c r="K14" s="18">
        <v>30.6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5.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5.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5.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5.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</sheetData>
  <mergeCells count="2">
    <mergeCell ref="A1:K1"/>
    <mergeCell ref="M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D5A3-287D-4B9C-95F6-529FB2E78A6E}">
  <dimension ref="A1:V109"/>
  <sheetViews>
    <sheetView zoomScale="115" workbookViewId="0">
      <selection sqref="A1:B14"/>
    </sheetView>
  </sheetViews>
  <sheetFormatPr defaultRowHeight="14.4" x14ac:dyDescent="0.3"/>
  <cols>
    <col min="1" max="1" width="11.33203125" style="10" customWidth="1"/>
    <col min="2" max="2" width="11.109375" style="10" customWidth="1"/>
    <col min="3" max="4" width="15.5546875" style="10" customWidth="1"/>
    <col min="5" max="6" width="11" style="10" customWidth="1"/>
    <col min="7" max="8" width="10" style="10" customWidth="1"/>
    <col min="9" max="9" width="11.5546875" style="10" customWidth="1"/>
    <col min="10" max="10" width="10.6640625" style="10" customWidth="1"/>
    <col min="11" max="11" width="13.33203125" style="10" customWidth="1"/>
    <col min="12" max="12" width="13.109375" style="10" customWidth="1"/>
    <col min="13" max="13" width="16" style="10" customWidth="1"/>
    <col min="14" max="14" width="12.77734375" style="10" customWidth="1"/>
    <col min="15" max="15" width="13.33203125" style="10" customWidth="1"/>
    <col min="16" max="16" width="15.21875" style="10" customWidth="1"/>
    <col min="17" max="17" width="11.33203125" style="10" customWidth="1"/>
    <col min="18" max="18" width="10" style="10" customWidth="1"/>
    <col min="19" max="22" width="11.77734375" style="10" customWidth="1"/>
  </cols>
  <sheetData>
    <row r="1" spans="1:22" ht="20.399999999999999" x14ac:dyDescent="0.35">
      <c r="A1" s="24" t="s">
        <v>4</v>
      </c>
      <c r="B1" s="24"/>
      <c r="C1" s="22" t="s">
        <v>5</v>
      </c>
      <c r="D1" s="22"/>
      <c r="E1" s="25" t="s">
        <v>3</v>
      </c>
      <c r="F1" s="25"/>
      <c r="G1" s="22" t="s">
        <v>6</v>
      </c>
      <c r="H1" s="22"/>
      <c r="I1" s="22" t="s">
        <v>17</v>
      </c>
      <c r="J1" s="22"/>
      <c r="K1" s="22" t="s">
        <v>25</v>
      </c>
      <c r="L1" s="22"/>
      <c r="M1" s="22" t="s">
        <v>7</v>
      </c>
      <c r="N1" s="22"/>
      <c r="O1" s="22" t="s">
        <v>8</v>
      </c>
      <c r="P1" s="22"/>
      <c r="Q1" s="22" t="s">
        <v>10</v>
      </c>
      <c r="R1" s="22"/>
      <c r="S1" s="22" t="s">
        <v>13</v>
      </c>
      <c r="T1" s="22"/>
      <c r="U1" s="22" t="s">
        <v>13</v>
      </c>
      <c r="V1" s="22"/>
    </row>
    <row r="2" spans="1:22" ht="39.6" customHeight="1" x14ac:dyDescent="0.3">
      <c r="A2" s="7" t="s">
        <v>73</v>
      </c>
      <c r="B2" s="7" t="s">
        <v>74</v>
      </c>
      <c r="C2" s="7" t="s">
        <v>73</v>
      </c>
      <c r="D2" s="7" t="s">
        <v>74</v>
      </c>
      <c r="E2" s="7" t="s">
        <v>73</v>
      </c>
      <c r="F2" s="7" t="s">
        <v>74</v>
      </c>
      <c r="G2" s="7" t="s">
        <v>73</v>
      </c>
      <c r="H2" s="7" t="s">
        <v>74</v>
      </c>
      <c r="I2" s="7" t="s">
        <v>73</v>
      </c>
      <c r="J2" s="7" t="s">
        <v>74</v>
      </c>
      <c r="K2" s="7" t="s">
        <v>73</v>
      </c>
      <c r="L2" s="7" t="s">
        <v>74</v>
      </c>
      <c r="M2" s="7" t="s">
        <v>73</v>
      </c>
      <c r="N2" s="7" t="s">
        <v>74</v>
      </c>
      <c r="O2" s="7" t="s">
        <v>73</v>
      </c>
      <c r="P2" s="7" t="s">
        <v>74</v>
      </c>
      <c r="Q2" s="7" t="s">
        <v>73</v>
      </c>
      <c r="R2" s="7" t="s">
        <v>74</v>
      </c>
      <c r="S2" s="7" t="s">
        <v>73</v>
      </c>
      <c r="T2" s="7" t="s">
        <v>74</v>
      </c>
      <c r="U2" s="7" t="s">
        <v>73</v>
      </c>
      <c r="V2" s="7" t="s">
        <v>74</v>
      </c>
    </row>
    <row r="3" spans="1:22" ht="15.6" x14ac:dyDescent="0.3">
      <c r="A3" s="9">
        <v>7.4</v>
      </c>
      <c r="B3" s="9">
        <v>6.8</v>
      </c>
      <c r="C3" s="9">
        <v>2380</v>
      </c>
      <c r="D3" s="9">
        <v>1813</v>
      </c>
      <c r="E3" s="9" t="s">
        <v>37</v>
      </c>
      <c r="F3" s="9">
        <v>1.9</v>
      </c>
      <c r="G3" s="9">
        <v>36</v>
      </c>
      <c r="H3" s="9">
        <v>29</v>
      </c>
      <c r="I3" s="9">
        <v>295</v>
      </c>
      <c r="J3" s="9">
        <v>196</v>
      </c>
      <c r="K3" s="9">
        <v>1622</v>
      </c>
      <c r="L3" s="9">
        <v>1232</v>
      </c>
      <c r="M3" s="9">
        <v>31000</v>
      </c>
      <c r="N3" s="9">
        <v>3100</v>
      </c>
      <c r="O3" s="9">
        <v>70000</v>
      </c>
      <c r="P3" s="9">
        <v>35000</v>
      </c>
      <c r="Q3" s="9">
        <v>7.6</v>
      </c>
      <c r="R3" s="9">
        <v>5</v>
      </c>
      <c r="S3" s="9">
        <v>26.9</v>
      </c>
      <c r="T3" s="9">
        <v>20.3</v>
      </c>
      <c r="U3" s="9">
        <v>26.9</v>
      </c>
      <c r="V3" s="9">
        <v>20.3</v>
      </c>
    </row>
    <row r="4" spans="1:22" ht="15.6" x14ac:dyDescent="0.3">
      <c r="A4" s="9">
        <v>7.19</v>
      </c>
      <c r="B4" s="9">
        <v>7.3</v>
      </c>
      <c r="C4" s="9">
        <v>2552</v>
      </c>
      <c r="D4" s="9">
        <v>1180</v>
      </c>
      <c r="E4" s="9" t="s">
        <v>37</v>
      </c>
      <c r="F4" s="9">
        <v>3.5</v>
      </c>
      <c r="G4" s="9">
        <v>51</v>
      </c>
      <c r="H4" s="9">
        <v>10</v>
      </c>
      <c r="I4" s="9">
        <v>354</v>
      </c>
      <c r="J4" s="9">
        <v>92</v>
      </c>
      <c r="K4" s="9">
        <v>1736</v>
      </c>
      <c r="L4" s="9">
        <v>810</v>
      </c>
      <c r="M4" s="9">
        <v>140000</v>
      </c>
      <c r="N4" s="9">
        <v>4300</v>
      </c>
      <c r="O4" s="9">
        <v>490000</v>
      </c>
      <c r="P4" s="9">
        <v>92000</v>
      </c>
      <c r="Q4" s="9">
        <v>11</v>
      </c>
      <c r="R4" s="9">
        <v>5.6</v>
      </c>
      <c r="S4" s="9">
        <v>14</v>
      </c>
      <c r="T4" s="9">
        <v>12.8</v>
      </c>
      <c r="U4" s="9">
        <v>14</v>
      </c>
      <c r="V4" s="9">
        <v>12.8</v>
      </c>
    </row>
    <row r="5" spans="1:22" ht="15.6" x14ac:dyDescent="0.3">
      <c r="A5" s="9">
        <v>7.25</v>
      </c>
      <c r="B5" s="9">
        <v>7.5</v>
      </c>
      <c r="C5" s="9">
        <v>2458</v>
      </c>
      <c r="D5" s="9">
        <v>1537</v>
      </c>
      <c r="E5" s="9" t="s">
        <v>37</v>
      </c>
      <c r="F5" s="9">
        <v>3</v>
      </c>
      <c r="G5" s="9">
        <v>62</v>
      </c>
      <c r="H5" s="9">
        <v>15</v>
      </c>
      <c r="I5" s="9">
        <v>286</v>
      </c>
      <c r="J5" s="9">
        <v>105</v>
      </c>
      <c r="K5" s="9">
        <v>1458</v>
      </c>
      <c r="L5" s="9">
        <v>984</v>
      </c>
      <c r="M5" s="9">
        <v>115000</v>
      </c>
      <c r="N5" s="9">
        <v>82000</v>
      </c>
      <c r="O5" s="9">
        <v>285000</v>
      </c>
      <c r="P5" s="9">
        <v>150000</v>
      </c>
      <c r="Q5" s="9">
        <v>8.6999999999999993</v>
      </c>
      <c r="R5" s="9">
        <v>6.9</v>
      </c>
      <c r="S5" s="9">
        <v>19</v>
      </c>
      <c r="T5" s="9">
        <v>10.5</v>
      </c>
      <c r="U5" s="9">
        <v>19</v>
      </c>
      <c r="V5" s="9">
        <v>10.5</v>
      </c>
    </row>
    <row r="6" spans="1:22" ht="15.6" x14ac:dyDescent="0.3">
      <c r="A6" s="9">
        <v>7.3</v>
      </c>
      <c r="B6" s="9">
        <v>7.8</v>
      </c>
      <c r="C6" s="9">
        <v>1629</v>
      </c>
      <c r="D6" s="9">
        <v>1948</v>
      </c>
      <c r="E6" s="9" t="s">
        <v>37</v>
      </c>
      <c r="F6" s="9">
        <v>2</v>
      </c>
      <c r="G6" s="9">
        <v>31</v>
      </c>
      <c r="H6" s="9">
        <v>18</v>
      </c>
      <c r="I6" s="9">
        <v>254</v>
      </c>
      <c r="J6" s="9">
        <v>117</v>
      </c>
      <c r="K6" s="9">
        <v>1269</v>
      </c>
      <c r="L6" s="9">
        <v>1328</v>
      </c>
      <c r="M6" s="9">
        <v>80000</v>
      </c>
      <c r="N6" s="9">
        <v>230000</v>
      </c>
      <c r="O6" s="9">
        <v>130000</v>
      </c>
      <c r="P6" s="9">
        <v>2400000</v>
      </c>
      <c r="Q6" s="9">
        <v>5.6</v>
      </c>
      <c r="R6" s="9">
        <v>8.6</v>
      </c>
      <c r="S6" s="9">
        <v>20</v>
      </c>
      <c r="T6" s="9">
        <v>9.8000000000000007</v>
      </c>
      <c r="U6" s="9">
        <v>20</v>
      </c>
      <c r="V6" s="9">
        <v>9.8000000000000007</v>
      </c>
    </row>
    <row r="7" spans="1:22" ht="15.6" x14ac:dyDescent="0.3">
      <c r="A7" s="9">
        <v>7.5</v>
      </c>
      <c r="B7" s="9">
        <v>7.4</v>
      </c>
      <c r="C7" s="9">
        <v>1786</v>
      </c>
      <c r="D7" s="9">
        <v>1910</v>
      </c>
      <c r="E7" s="9" t="s">
        <v>37</v>
      </c>
      <c r="F7" s="9">
        <v>0.7</v>
      </c>
      <c r="G7" s="9">
        <v>38</v>
      </c>
      <c r="H7" s="9">
        <v>41</v>
      </c>
      <c r="I7" s="9">
        <v>235</v>
      </c>
      <c r="J7" s="9">
        <v>204</v>
      </c>
      <c r="K7" s="9">
        <v>1384</v>
      </c>
      <c r="L7" s="9">
        <v>1308</v>
      </c>
      <c r="M7" s="9">
        <v>7000</v>
      </c>
      <c r="N7" s="9">
        <v>110000</v>
      </c>
      <c r="O7" s="9">
        <v>30000</v>
      </c>
      <c r="P7" s="9">
        <v>490000</v>
      </c>
      <c r="Q7" s="9">
        <v>8.6999999999999993</v>
      </c>
      <c r="R7" s="9">
        <v>5.9</v>
      </c>
      <c r="S7" s="9">
        <v>9</v>
      </c>
      <c r="T7" s="9">
        <v>60</v>
      </c>
      <c r="U7" s="9">
        <v>9</v>
      </c>
      <c r="V7" s="9">
        <v>60</v>
      </c>
    </row>
    <row r="8" spans="1:22" ht="15.6" x14ac:dyDescent="0.3">
      <c r="A8" s="9">
        <v>7.4</v>
      </c>
      <c r="B8" s="9">
        <v>6.9</v>
      </c>
      <c r="C8" s="9">
        <v>2175</v>
      </c>
      <c r="D8" s="9">
        <v>1873</v>
      </c>
      <c r="E8" s="9" t="s">
        <v>37</v>
      </c>
      <c r="F8" s="9" t="s">
        <v>37</v>
      </c>
      <c r="G8" s="9">
        <v>48</v>
      </c>
      <c r="H8" s="9">
        <v>79</v>
      </c>
      <c r="I8" s="9">
        <v>214</v>
      </c>
      <c r="J8" s="9">
        <v>372</v>
      </c>
      <c r="K8" s="9">
        <v>1057</v>
      </c>
      <c r="L8" s="9">
        <v>1284</v>
      </c>
      <c r="M8" s="9">
        <v>3000</v>
      </c>
      <c r="N8" s="9">
        <v>1100000</v>
      </c>
      <c r="O8" s="9">
        <v>10000</v>
      </c>
      <c r="P8" s="9">
        <v>4900000</v>
      </c>
      <c r="Q8" s="9">
        <v>6.5</v>
      </c>
      <c r="R8" s="9">
        <v>4.7</v>
      </c>
      <c r="S8" s="9">
        <v>24</v>
      </c>
      <c r="T8" s="9">
        <v>36.4</v>
      </c>
      <c r="U8" s="9">
        <v>24</v>
      </c>
      <c r="V8" s="9">
        <v>36.4</v>
      </c>
    </row>
    <row r="9" spans="1:22" ht="15.6" x14ac:dyDescent="0.3">
      <c r="A9" s="9">
        <v>7.1</v>
      </c>
      <c r="B9" s="9">
        <v>7.9</v>
      </c>
      <c r="C9" s="9">
        <v>2273</v>
      </c>
      <c r="D9" s="9">
        <v>1996</v>
      </c>
      <c r="E9" s="9" t="s">
        <v>37</v>
      </c>
      <c r="F9" s="9">
        <v>2.2000000000000002</v>
      </c>
      <c r="G9" s="9">
        <v>75</v>
      </c>
      <c r="H9" s="9">
        <v>27</v>
      </c>
      <c r="I9" s="9">
        <v>250</v>
      </c>
      <c r="J9" s="9">
        <v>170</v>
      </c>
      <c r="K9" s="9">
        <v>1548</v>
      </c>
      <c r="L9" s="9">
        <v>1357</v>
      </c>
      <c r="M9" s="9">
        <v>1400</v>
      </c>
      <c r="N9" s="9">
        <v>11000</v>
      </c>
      <c r="O9" s="9">
        <v>4900</v>
      </c>
      <c r="P9" s="9">
        <v>46000</v>
      </c>
      <c r="Q9" s="9">
        <v>9.9</v>
      </c>
      <c r="R9" s="9">
        <v>0.7</v>
      </c>
      <c r="S9" s="9">
        <v>32</v>
      </c>
      <c r="T9" s="9">
        <v>33</v>
      </c>
      <c r="U9" s="9">
        <v>32</v>
      </c>
      <c r="V9" s="9">
        <v>33</v>
      </c>
    </row>
    <row r="10" spans="1:22" ht="15.6" x14ac:dyDescent="0.3">
      <c r="A10" s="9">
        <v>6.8</v>
      </c>
      <c r="B10" s="9">
        <v>7.2</v>
      </c>
      <c r="C10" s="9">
        <v>1614</v>
      </c>
      <c r="D10" s="9">
        <v>2120</v>
      </c>
      <c r="E10" s="9">
        <v>0.5</v>
      </c>
      <c r="F10" s="9" t="s">
        <v>37</v>
      </c>
      <c r="G10" s="9">
        <v>39</v>
      </c>
      <c r="H10" s="9">
        <v>7</v>
      </c>
      <c r="I10" s="9">
        <v>200</v>
      </c>
      <c r="J10" s="9">
        <v>332</v>
      </c>
      <c r="K10" s="9">
        <v>1064</v>
      </c>
      <c r="L10" s="9">
        <v>1456</v>
      </c>
      <c r="M10" s="9">
        <v>17000</v>
      </c>
      <c r="N10" s="9">
        <v>14000</v>
      </c>
      <c r="O10" s="9">
        <v>48000</v>
      </c>
      <c r="P10" s="9">
        <v>70000</v>
      </c>
      <c r="Q10" s="9">
        <v>2.84</v>
      </c>
      <c r="R10" s="9">
        <v>9.5</v>
      </c>
      <c r="S10" s="9">
        <v>3.9</v>
      </c>
      <c r="T10" s="9">
        <v>38</v>
      </c>
      <c r="U10" s="9">
        <v>3.9</v>
      </c>
      <c r="V10" s="9">
        <v>38</v>
      </c>
    </row>
    <row r="11" spans="1:22" ht="15.6" x14ac:dyDescent="0.3">
      <c r="A11" s="9">
        <v>7.7</v>
      </c>
      <c r="B11" s="9">
        <v>7.7</v>
      </c>
      <c r="C11" s="9">
        <v>1368</v>
      </c>
      <c r="D11" s="9">
        <v>2200</v>
      </c>
      <c r="E11" s="9" t="s">
        <v>37</v>
      </c>
      <c r="F11" s="9">
        <v>0.8</v>
      </c>
      <c r="G11" s="9">
        <v>25</v>
      </c>
      <c r="H11" s="9">
        <v>45</v>
      </c>
      <c r="I11" s="9">
        <v>274</v>
      </c>
      <c r="J11" s="9">
        <v>256</v>
      </c>
      <c r="K11" s="9">
        <v>936</v>
      </c>
      <c r="L11" s="9">
        <v>1490</v>
      </c>
      <c r="M11" s="9">
        <v>1100</v>
      </c>
      <c r="N11" s="9">
        <v>2100</v>
      </c>
      <c r="O11" s="9">
        <v>4900</v>
      </c>
      <c r="P11" s="9">
        <v>17000</v>
      </c>
      <c r="Q11" s="9">
        <v>5.25</v>
      </c>
      <c r="R11" s="9">
        <v>8.4</v>
      </c>
      <c r="S11" s="9">
        <v>15.8</v>
      </c>
      <c r="T11" s="9">
        <v>13.9</v>
      </c>
      <c r="U11" s="9">
        <v>15.8</v>
      </c>
      <c r="V11" s="9">
        <v>13.9</v>
      </c>
    </row>
    <row r="12" spans="1:22" ht="15.6" x14ac:dyDescent="0.3">
      <c r="A12" s="9">
        <v>7.6</v>
      </c>
      <c r="B12" s="9">
        <v>8</v>
      </c>
      <c r="C12" s="9">
        <v>1847</v>
      </c>
      <c r="D12" s="9">
        <v>2210</v>
      </c>
      <c r="E12" s="9">
        <v>2.1</v>
      </c>
      <c r="F12" s="9">
        <v>0.8</v>
      </c>
      <c r="G12" s="9">
        <v>28</v>
      </c>
      <c r="H12" s="9">
        <v>34</v>
      </c>
      <c r="I12" s="9">
        <v>201</v>
      </c>
      <c r="J12" s="9">
        <v>240</v>
      </c>
      <c r="K12" s="9">
        <v>1256</v>
      </c>
      <c r="L12" s="9">
        <v>1498</v>
      </c>
      <c r="M12" s="9">
        <v>21000</v>
      </c>
      <c r="N12" s="9">
        <v>310</v>
      </c>
      <c r="O12" s="9">
        <v>70000</v>
      </c>
      <c r="P12" s="9">
        <v>2800</v>
      </c>
      <c r="Q12" s="9">
        <v>5.4</v>
      </c>
      <c r="R12" s="9">
        <v>8.9</v>
      </c>
      <c r="S12" s="9">
        <v>7.2</v>
      </c>
      <c r="T12" s="9">
        <v>6.2</v>
      </c>
      <c r="U12" s="9">
        <v>7.2</v>
      </c>
      <c r="V12" s="9">
        <v>6.2</v>
      </c>
    </row>
    <row r="13" spans="1:22" ht="15.6" x14ac:dyDescent="0.3">
      <c r="A13" s="9">
        <v>6.9</v>
      </c>
      <c r="B13" s="9"/>
      <c r="C13" s="9">
        <v>1498</v>
      </c>
      <c r="D13" s="9"/>
      <c r="E13" s="9">
        <v>5.3</v>
      </c>
      <c r="F13" s="9"/>
      <c r="G13" s="9">
        <v>5</v>
      </c>
      <c r="H13" s="9"/>
      <c r="I13" s="9">
        <v>56</v>
      </c>
      <c r="J13" s="9"/>
      <c r="K13" s="9">
        <v>1020</v>
      </c>
      <c r="L13" s="9"/>
      <c r="M13" s="9">
        <v>210</v>
      </c>
      <c r="N13" s="9"/>
      <c r="O13" s="9">
        <v>1200</v>
      </c>
      <c r="P13" s="9"/>
      <c r="Q13" s="9">
        <v>5.8</v>
      </c>
      <c r="R13" s="9"/>
      <c r="S13" s="9">
        <v>22.3</v>
      </c>
      <c r="T13" s="9"/>
      <c r="U13" s="9">
        <v>22.3</v>
      </c>
      <c r="V13" s="9"/>
    </row>
    <row r="14" spans="1:22" ht="15.6" x14ac:dyDescent="0.3">
      <c r="A14" s="9">
        <v>7.4</v>
      </c>
      <c r="B14" s="9"/>
      <c r="C14" s="9">
        <v>1657</v>
      </c>
      <c r="D14" s="9"/>
      <c r="E14" s="9" t="s">
        <v>37</v>
      </c>
      <c r="F14" s="9"/>
      <c r="G14" s="9">
        <v>39</v>
      </c>
      <c r="H14" s="9"/>
      <c r="I14" s="9">
        <v>272</v>
      </c>
      <c r="J14" s="9"/>
      <c r="K14" s="9">
        <v>1124</v>
      </c>
      <c r="L14" s="9"/>
      <c r="M14" s="9">
        <v>21000</v>
      </c>
      <c r="N14" s="9"/>
      <c r="O14" s="9">
        <v>170000</v>
      </c>
      <c r="P14" s="9"/>
      <c r="Q14" s="9">
        <v>5.9</v>
      </c>
      <c r="R14" s="9"/>
      <c r="S14" s="9">
        <v>30.6</v>
      </c>
      <c r="T14" s="9"/>
      <c r="U14" s="9">
        <v>30.6</v>
      </c>
      <c r="V14" s="9"/>
    </row>
    <row r="15" spans="1:22" ht="15.6" x14ac:dyDescent="0.3">
      <c r="A15" s="9">
        <f>AVERAGE(A3:A14)</f>
        <v>7.2950000000000008</v>
      </c>
      <c r="B15" s="9">
        <f>AVERAGE(B3:B14)</f>
        <v>7.45</v>
      </c>
      <c r="C15" s="9">
        <f>AVERAGE(C3:C14)</f>
        <v>1936.4166666666667</v>
      </c>
      <c r="D15" s="9">
        <f>AVERAGE(D3:D14)</f>
        <v>1878.7</v>
      </c>
      <c r="E15" s="9">
        <f>AVERAGE(E10:E14)</f>
        <v>2.6333333333333333</v>
      </c>
      <c r="F15" s="9">
        <f t="shared" ref="F15:T15" si="0">AVERAGE(F3:F14)</f>
        <v>1.8625000000000003</v>
      </c>
      <c r="G15" s="9">
        <f t="shared" si="0"/>
        <v>39.75</v>
      </c>
      <c r="H15" s="9">
        <f t="shared" si="0"/>
        <v>30.5</v>
      </c>
      <c r="I15" s="9">
        <f t="shared" si="0"/>
        <v>240.91666666666666</v>
      </c>
      <c r="J15" s="9">
        <f t="shared" si="0"/>
        <v>208.4</v>
      </c>
      <c r="K15" s="9">
        <f t="shared" si="0"/>
        <v>1289.5</v>
      </c>
      <c r="L15" s="9">
        <f t="shared" si="0"/>
        <v>1274.7</v>
      </c>
      <c r="M15" s="9">
        <f t="shared" si="0"/>
        <v>36475.833333333336</v>
      </c>
      <c r="N15" s="9">
        <f t="shared" si="0"/>
        <v>155681</v>
      </c>
      <c r="O15" s="9">
        <f t="shared" si="0"/>
        <v>109500</v>
      </c>
      <c r="P15" s="9">
        <f t="shared" si="0"/>
        <v>820280</v>
      </c>
      <c r="Q15" s="9">
        <f t="shared" si="0"/>
        <v>6.9325000000000001</v>
      </c>
      <c r="R15" s="14">
        <f t="shared" si="0"/>
        <v>6.42</v>
      </c>
      <c r="S15" s="9">
        <f t="shared" si="0"/>
        <v>18.725000000000001</v>
      </c>
      <c r="T15" s="9">
        <f t="shared" si="0"/>
        <v>24.09</v>
      </c>
      <c r="U15" s="26"/>
      <c r="V15" s="26"/>
    </row>
    <row r="16" spans="1:22" ht="15.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7"/>
      <c r="V16" s="26"/>
    </row>
    <row r="17" spans="1:22" ht="15.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7"/>
      <c r="V17" s="26"/>
    </row>
    <row r="18" spans="1:22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7"/>
      <c r="V18" s="26"/>
    </row>
    <row r="19" spans="1:22" ht="15" x14ac:dyDescent="0.3">
      <c r="A19"/>
      <c r="B19"/>
      <c r="C19"/>
      <c r="D19"/>
      <c r="E19"/>
      <c r="F19"/>
      <c r="G19"/>
      <c r="H19"/>
      <c r="I19" s="15"/>
      <c r="J19"/>
      <c r="K19"/>
      <c r="L19"/>
      <c r="M19"/>
      <c r="N19"/>
      <c r="O19"/>
      <c r="P19"/>
      <c r="Q19"/>
      <c r="R19"/>
      <c r="S19"/>
      <c r="T19"/>
      <c r="U19" s="27"/>
      <c r="V19" s="26"/>
    </row>
    <row r="20" spans="1:22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 s="27"/>
      <c r="V20" s="26"/>
    </row>
    <row r="21" spans="1:22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s="27"/>
      <c r="V21" s="26"/>
    </row>
    <row r="22" spans="1:22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s="27"/>
      <c r="V22" s="26"/>
    </row>
    <row r="23" spans="1:22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s="27"/>
      <c r="V23" s="26"/>
    </row>
    <row r="24" spans="1:22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s="27"/>
      <c r="V24" s="26"/>
    </row>
    <row r="25" spans="1:22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 s="27"/>
      <c r="V25" s="26"/>
    </row>
    <row r="26" spans="1:22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s="27"/>
      <c r="V26" s="26"/>
    </row>
    <row r="27" spans="1:22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 s="27"/>
      <c r="V27" s="26"/>
    </row>
    <row r="28" spans="1:22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 s="27"/>
      <c r="V28" s="26"/>
    </row>
    <row r="29" spans="1:22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 s="27"/>
      <c r="V29" s="26"/>
    </row>
    <row r="30" spans="1:22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 s="27"/>
      <c r="V30" s="26"/>
    </row>
    <row r="31" spans="1:22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 s="27"/>
      <c r="V31" s="26"/>
    </row>
    <row r="32" spans="1:22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 s="27"/>
      <c r="V32" s="26"/>
    </row>
    <row r="33" spans="1:22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 s="27"/>
      <c r="V33" s="26"/>
    </row>
    <row r="34" spans="1:22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 s="27"/>
      <c r="V34" s="26"/>
    </row>
    <row r="35" spans="1:22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 s="27"/>
      <c r="V35" s="26"/>
    </row>
    <row r="36" spans="1:22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 s="27"/>
      <c r="V36" s="26"/>
    </row>
    <row r="37" spans="1:22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 s="27"/>
      <c r="V37" s="26"/>
    </row>
    <row r="38" spans="1:22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 s="27"/>
      <c r="V38" s="26"/>
    </row>
    <row r="39" spans="1:22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7"/>
      <c r="V39" s="26"/>
    </row>
    <row r="40" spans="1:22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 s="27"/>
      <c r="V40" s="26"/>
    </row>
    <row r="41" spans="1:22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 s="27"/>
      <c r="V41" s="26"/>
    </row>
    <row r="42" spans="1:22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 s="27"/>
      <c r="V42" s="26"/>
    </row>
    <row r="43" spans="1:22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 s="27"/>
      <c r="V43" s="26"/>
    </row>
    <row r="44" spans="1:22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 s="27"/>
      <c r="V44" s="26"/>
    </row>
    <row r="45" spans="1:22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 s="27"/>
      <c r="V45" s="26"/>
    </row>
    <row r="46" spans="1:22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 s="27"/>
      <c r="V46" s="26"/>
    </row>
    <row r="47" spans="1:22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 s="27"/>
      <c r="V47" s="26"/>
    </row>
    <row r="48" spans="1:22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 s="27"/>
      <c r="V48" s="26"/>
    </row>
    <row r="49" spans="1:22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 s="27"/>
      <c r="V49" s="26"/>
    </row>
    <row r="50" spans="1:22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 s="27"/>
      <c r="V50" s="26"/>
    </row>
    <row r="51" spans="1:22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 s="27"/>
      <c r="V51" s="26"/>
    </row>
    <row r="52" spans="1:22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 s="27"/>
      <c r="V52" s="26"/>
    </row>
    <row r="53" spans="1:22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 s="27"/>
      <c r="V53" s="26"/>
    </row>
    <row r="54" spans="1:22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 s="27"/>
      <c r="V54" s="26"/>
    </row>
    <row r="55" spans="1:22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 s="27"/>
      <c r="V55" s="26"/>
    </row>
    <row r="56" spans="1:22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s="27"/>
      <c r="V56" s="26"/>
    </row>
    <row r="57" spans="1:22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 s="27"/>
      <c r="V57" s="26"/>
    </row>
    <row r="58" spans="1:22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 s="27"/>
      <c r="V58" s="26"/>
    </row>
    <row r="59" spans="1:22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 s="27"/>
      <c r="V59" s="26"/>
    </row>
    <row r="60" spans="1:22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 s="27"/>
      <c r="V60" s="26"/>
    </row>
    <row r="61" spans="1:22" x14ac:dyDescent="0.3">
      <c r="A61" s="11"/>
      <c r="B61" s="12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 s="27"/>
      <c r="V61" s="26"/>
    </row>
    <row r="62" spans="1:22" x14ac:dyDescent="0.3">
      <c r="B62" s="13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 s="27"/>
      <c r="V62" s="26"/>
    </row>
    <row r="63" spans="1:22" x14ac:dyDescent="0.3">
      <c r="B63" s="1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 s="27"/>
      <c r="V63" s="26"/>
    </row>
    <row r="64" spans="1:22" x14ac:dyDescent="0.3">
      <c r="B64" s="13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 s="27"/>
      <c r="V64" s="26"/>
    </row>
    <row r="65" spans="2:22" x14ac:dyDescent="0.3">
      <c r="B65" s="13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 s="27"/>
      <c r="V65" s="26"/>
    </row>
    <row r="66" spans="2:22" x14ac:dyDescent="0.3">
      <c r="B66" s="13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 s="27"/>
      <c r="V66" s="26"/>
    </row>
    <row r="67" spans="2:22" x14ac:dyDescent="0.3">
      <c r="B67" s="13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 s="27"/>
      <c r="V67" s="26"/>
    </row>
    <row r="68" spans="2:22" x14ac:dyDescent="0.3">
      <c r="B68" s="13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 s="27"/>
      <c r="V68" s="26"/>
    </row>
    <row r="69" spans="2:22" x14ac:dyDescent="0.3">
      <c r="B69" s="13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 s="27"/>
      <c r="V69" s="26"/>
    </row>
    <row r="70" spans="2:22" x14ac:dyDescent="0.3">
      <c r="B70" s="13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 s="27"/>
      <c r="V70" s="26"/>
    </row>
    <row r="71" spans="2:22" x14ac:dyDescent="0.3">
      <c r="B71" s="13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 s="27"/>
      <c r="V71" s="26"/>
    </row>
    <row r="72" spans="2:22" x14ac:dyDescent="0.3">
      <c r="B72" s="13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 s="27"/>
      <c r="V72" s="26"/>
    </row>
    <row r="73" spans="2:22" x14ac:dyDescent="0.3">
      <c r="C73" s="11"/>
      <c r="D73" s="12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 s="27"/>
      <c r="V73" s="26"/>
    </row>
    <row r="74" spans="2:22" x14ac:dyDescent="0.3">
      <c r="D74" s="13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 s="27"/>
      <c r="V74" s="26"/>
    </row>
    <row r="75" spans="2:22" x14ac:dyDescent="0.3">
      <c r="D75" s="13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s="27"/>
      <c r="V75" s="26"/>
    </row>
    <row r="76" spans="2:22" x14ac:dyDescent="0.3">
      <c r="D76" s="13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 s="27"/>
      <c r="V76" s="26"/>
    </row>
    <row r="77" spans="2:22" x14ac:dyDescent="0.3">
      <c r="D77" s="13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 s="27"/>
      <c r="V77" s="26"/>
    </row>
    <row r="78" spans="2:22" x14ac:dyDescent="0.3">
      <c r="D78" s="13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 s="27"/>
      <c r="V78" s="26"/>
    </row>
    <row r="79" spans="2:22" x14ac:dyDescent="0.3">
      <c r="D79" s="13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 s="27"/>
      <c r="V79" s="26"/>
    </row>
    <row r="80" spans="2:22" x14ac:dyDescent="0.3">
      <c r="D80" s="13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 s="27"/>
      <c r="V80" s="26"/>
    </row>
    <row r="81" spans="4:22" x14ac:dyDescent="0.3">
      <c r="D81" s="13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 s="27"/>
      <c r="V81" s="26"/>
    </row>
    <row r="82" spans="4:22" x14ac:dyDescent="0.3">
      <c r="D82" s="13"/>
      <c r="E82"/>
      <c r="F82"/>
      <c r="G82"/>
      <c r="H82"/>
      <c r="I82"/>
      <c r="J82"/>
      <c r="K82"/>
      <c r="L82"/>
      <c r="M82"/>
      <c r="N82"/>
      <c r="O82" s="11"/>
      <c r="P82" s="11"/>
      <c r="Q82" s="11"/>
      <c r="R82" s="12"/>
      <c r="S82"/>
      <c r="T82"/>
      <c r="U82" s="27"/>
      <c r="V82" s="26"/>
    </row>
    <row r="83" spans="4:22" x14ac:dyDescent="0.3">
      <c r="D83" s="13"/>
      <c r="E83"/>
      <c r="F83"/>
      <c r="G83"/>
      <c r="H83"/>
      <c r="I83"/>
      <c r="J83"/>
      <c r="K83"/>
      <c r="L83"/>
      <c r="M83"/>
      <c r="N83"/>
      <c r="R83" s="13"/>
      <c r="S83"/>
      <c r="T83"/>
      <c r="U83" s="27"/>
      <c r="V83" s="26"/>
    </row>
    <row r="84" spans="4:22" x14ac:dyDescent="0.3">
      <c r="E84" s="11"/>
      <c r="F84" s="12"/>
      <c r="G84"/>
      <c r="H84"/>
      <c r="I84"/>
      <c r="J84"/>
      <c r="K84"/>
      <c r="L84"/>
      <c r="M84"/>
      <c r="N84"/>
      <c r="R84" s="13"/>
      <c r="S84"/>
      <c r="T84"/>
      <c r="U84" s="27"/>
      <c r="V84" s="26"/>
    </row>
    <row r="85" spans="4:22" x14ac:dyDescent="0.3">
      <c r="F85" s="13"/>
      <c r="G85"/>
      <c r="H85"/>
      <c r="I85"/>
      <c r="J85"/>
      <c r="K85"/>
      <c r="L85"/>
      <c r="M85"/>
      <c r="N85"/>
      <c r="R85" s="13"/>
      <c r="S85"/>
      <c r="T85"/>
      <c r="U85" s="27"/>
      <c r="V85" s="26"/>
    </row>
    <row r="86" spans="4:22" x14ac:dyDescent="0.3">
      <c r="F86" s="13"/>
      <c r="G86"/>
      <c r="H86"/>
      <c r="I86"/>
      <c r="J86"/>
      <c r="K86"/>
      <c r="L86"/>
      <c r="M86"/>
      <c r="N86"/>
      <c r="R86" s="13"/>
      <c r="S86"/>
      <c r="T86"/>
      <c r="U86" s="27"/>
      <c r="V86" s="26"/>
    </row>
    <row r="87" spans="4:22" x14ac:dyDescent="0.3">
      <c r="F87" s="13"/>
      <c r="G87"/>
      <c r="H87"/>
      <c r="I87"/>
      <c r="J87"/>
      <c r="K87"/>
      <c r="L87"/>
      <c r="M87"/>
      <c r="N87"/>
      <c r="R87" s="13"/>
      <c r="S87" s="11"/>
      <c r="T87" s="11"/>
      <c r="U87" s="26"/>
      <c r="V87" s="26"/>
    </row>
    <row r="88" spans="4:22" x14ac:dyDescent="0.3">
      <c r="G88" s="11"/>
      <c r="H88" s="12"/>
      <c r="I88"/>
      <c r="J88"/>
      <c r="K88"/>
      <c r="L88"/>
      <c r="M88"/>
      <c r="N88"/>
      <c r="R88" s="13"/>
      <c r="U88" s="26"/>
      <c r="V88" s="26"/>
    </row>
    <row r="89" spans="4:22" x14ac:dyDescent="0.3">
      <c r="H89" s="13"/>
      <c r="I89"/>
      <c r="J89"/>
      <c r="K89"/>
      <c r="L89"/>
      <c r="M89"/>
      <c r="N89"/>
      <c r="R89" s="13"/>
      <c r="U89" s="26"/>
      <c r="V89" s="26"/>
    </row>
    <row r="90" spans="4:22" x14ac:dyDescent="0.3">
      <c r="H90" s="13"/>
      <c r="I90"/>
      <c r="J90"/>
      <c r="K90"/>
      <c r="L90"/>
      <c r="M90"/>
      <c r="N90"/>
      <c r="R90" s="13"/>
      <c r="U90" s="26"/>
      <c r="V90" s="26"/>
    </row>
    <row r="91" spans="4:22" x14ac:dyDescent="0.3">
      <c r="H91" s="13"/>
      <c r="I91"/>
      <c r="J91"/>
      <c r="K91"/>
      <c r="L91"/>
      <c r="M91"/>
      <c r="N91"/>
      <c r="R91" s="13"/>
      <c r="U91" s="26"/>
      <c r="V91" s="26"/>
    </row>
    <row r="92" spans="4:22" x14ac:dyDescent="0.3">
      <c r="H92" s="13"/>
      <c r="I92"/>
      <c r="J92"/>
      <c r="K92"/>
      <c r="L92"/>
      <c r="M92"/>
      <c r="N92"/>
      <c r="U92" s="11"/>
      <c r="V92" s="11"/>
    </row>
    <row r="93" spans="4:22" x14ac:dyDescent="0.3">
      <c r="H93" s="13"/>
      <c r="I93"/>
      <c r="J93"/>
      <c r="K93" s="11"/>
      <c r="L93" s="12"/>
      <c r="M93"/>
      <c r="N93"/>
    </row>
    <row r="94" spans="4:22" x14ac:dyDescent="0.3">
      <c r="H94" s="13"/>
      <c r="I94"/>
      <c r="J94"/>
      <c r="L94" s="13"/>
      <c r="M94"/>
      <c r="N94"/>
    </row>
    <row r="95" spans="4:22" x14ac:dyDescent="0.3">
      <c r="H95" s="13"/>
      <c r="I95"/>
      <c r="J95"/>
      <c r="L95" s="13"/>
      <c r="M95"/>
      <c r="N95"/>
    </row>
    <row r="96" spans="4:22" x14ac:dyDescent="0.3">
      <c r="H96" s="13"/>
      <c r="I96"/>
      <c r="J96"/>
      <c r="L96" s="13"/>
      <c r="M96"/>
      <c r="N96"/>
    </row>
    <row r="97" spans="8:14" x14ac:dyDescent="0.3">
      <c r="H97" s="13"/>
      <c r="I97"/>
      <c r="J97"/>
      <c r="L97" s="13"/>
      <c r="M97"/>
      <c r="N97"/>
    </row>
    <row r="98" spans="8:14" x14ac:dyDescent="0.3">
      <c r="H98" s="13"/>
      <c r="I98"/>
      <c r="J98"/>
      <c r="L98" s="13"/>
      <c r="M98"/>
      <c r="N98"/>
    </row>
    <row r="99" spans="8:14" x14ac:dyDescent="0.3">
      <c r="H99" s="13"/>
      <c r="I99"/>
      <c r="J99"/>
      <c r="M99" s="11"/>
      <c r="N99" s="11"/>
    </row>
    <row r="100" spans="8:14" x14ac:dyDescent="0.3">
      <c r="H100" s="13"/>
      <c r="I100"/>
      <c r="J100"/>
    </row>
    <row r="101" spans="8:14" x14ac:dyDescent="0.3">
      <c r="H101" s="13"/>
      <c r="I101"/>
      <c r="J101"/>
    </row>
    <row r="102" spans="8:14" x14ac:dyDescent="0.3">
      <c r="H102" s="13"/>
      <c r="I102"/>
      <c r="J102"/>
    </row>
    <row r="103" spans="8:14" x14ac:dyDescent="0.3">
      <c r="H103" s="13"/>
      <c r="I103"/>
      <c r="J103"/>
    </row>
    <row r="104" spans="8:14" x14ac:dyDescent="0.3">
      <c r="H104" s="13"/>
      <c r="I104"/>
      <c r="J104"/>
    </row>
    <row r="105" spans="8:14" x14ac:dyDescent="0.3">
      <c r="H105" s="13"/>
      <c r="I105"/>
      <c r="J105"/>
    </row>
    <row r="106" spans="8:14" x14ac:dyDescent="0.3">
      <c r="H106" s="13"/>
      <c r="I106"/>
      <c r="J106"/>
    </row>
    <row r="107" spans="8:14" x14ac:dyDescent="0.3">
      <c r="H107" s="13"/>
      <c r="I107"/>
      <c r="J107"/>
    </row>
    <row r="108" spans="8:14" x14ac:dyDescent="0.3">
      <c r="H108" s="13"/>
      <c r="I108"/>
      <c r="J108"/>
    </row>
    <row r="109" spans="8:14" x14ac:dyDescent="0.3">
      <c r="I109" s="11"/>
      <c r="J109" s="11"/>
    </row>
  </sheetData>
  <mergeCells count="12">
    <mergeCell ref="M1:N1"/>
    <mergeCell ref="O1:P1"/>
    <mergeCell ref="Q1:R1"/>
    <mergeCell ref="U1:V1"/>
    <mergeCell ref="U15:V91"/>
    <mergeCell ref="S1:T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2F62-7672-4223-A662-8E9D57EB002E}">
  <dimension ref="A1:L27"/>
  <sheetViews>
    <sheetView tabSelected="1" topLeftCell="A3" workbookViewId="0">
      <selection activeCell="O11" sqref="O11"/>
    </sheetView>
  </sheetViews>
  <sheetFormatPr defaultRowHeight="14.4" x14ac:dyDescent="0.3"/>
  <cols>
    <col min="1" max="1" width="12.77734375" customWidth="1"/>
    <col min="2" max="2" width="13.6640625" customWidth="1"/>
    <col min="3" max="3" width="11.77734375" customWidth="1"/>
    <col min="4" max="4" width="15.109375" customWidth="1"/>
    <col min="5" max="5" width="14" customWidth="1"/>
    <col min="6" max="7" width="10.109375" customWidth="1"/>
    <col min="8" max="8" width="19.33203125" customWidth="1"/>
    <col min="11" max="11" width="13.109375" customWidth="1"/>
    <col min="12" max="12" width="14.88671875" customWidth="1"/>
  </cols>
  <sheetData>
    <row r="1" spans="1:12" ht="15.6" x14ac:dyDescent="0.3">
      <c r="A1" s="22" t="s">
        <v>101</v>
      </c>
      <c r="B1" s="22"/>
      <c r="C1" s="22"/>
      <c r="D1" s="22"/>
      <c r="E1" s="22"/>
      <c r="F1" s="22"/>
      <c r="G1" s="22"/>
      <c r="H1" s="22"/>
    </row>
    <row r="2" spans="1:12" s="28" customFormat="1" ht="20.399999999999999" x14ac:dyDescent="0.35">
      <c r="A2" s="16" t="s">
        <v>81</v>
      </c>
      <c r="B2" s="16" t="s">
        <v>82</v>
      </c>
      <c r="C2" s="16" t="s">
        <v>83</v>
      </c>
      <c r="D2" s="16" t="s">
        <v>84</v>
      </c>
      <c r="E2" s="16" t="s">
        <v>85</v>
      </c>
      <c r="F2" s="16" t="s">
        <v>86</v>
      </c>
      <c r="G2" s="16" t="s">
        <v>87</v>
      </c>
      <c r="H2" s="16" t="s">
        <v>88</v>
      </c>
      <c r="K2" s="24" t="s">
        <v>87</v>
      </c>
      <c r="L2" s="24"/>
    </row>
    <row r="3" spans="1:12" s="29" customFormat="1" ht="20.399999999999999" customHeight="1" x14ac:dyDescent="0.25">
      <c r="A3" s="30" t="s">
        <v>89</v>
      </c>
      <c r="B3" s="30">
        <v>8.5</v>
      </c>
      <c r="C3" s="30">
        <v>7</v>
      </c>
      <c r="D3" s="30">
        <v>0.1308</v>
      </c>
      <c r="E3" s="30">
        <v>116.07</v>
      </c>
      <c r="F3" s="30">
        <v>0.85399999999999998</v>
      </c>
      <c r="G3" s="30">
        <v>222.79</v>
      </c>
      <c r="H3" s="30" t="s">
        <v>99</v>
      </c>
      <c r="K3" s="7" t="s">
        <v>73</v>
      </c>
      <c r="L3" s="7" t="s">
        <v>74</v>
      </c>
    </row>
    <row r="4" spans="1:12" s="29" customFormat="1" ht="13.2" x14ac:dyDescent="0.25">
      <c r="A4" s="30" t="s">
        <v>90</v>
      </c>
      <c r="B4" s="30">
        <v>1500</v>
      </c>
      <c r="C4" s="30">
        <v>0</v>
      </c>
      <c r="D4" s="30">
        <v>4.0000000000000002E-4</v>
      </c>
      <c r="E4" s="30">
        <v>112.45</v>
      </c>
      <c r="F4" s="30">
        <v>0.85399999999999998</v>
      </c>
      <c r="G4" s="30">
        <v>216.8</v>
      </c>
      <c r="H4" s="30" t="s">
        <v>99</v>
      </c>
      <c r="K4" s="30">
        <v>222.79</v>
      </c>
      <c r="L4" s="30">
        <v>530.79999999999995</v>
      </c>
    </row>
    <row r="5" spans="1:12" s="29" customFormat="1" ht="13.2" x14ac:dyDescent="0.25">
      <c r="A5" s="30" t="s">
        <v>91</v>
      </c>
      <c r="B5" s="30">
        <v>5</v>
      </c>
      <c r="C5" s="30">
        <v>5</v>
      </c>
      <c r="D5" s="30">
        <v>0.2223</v>
      </c>
      <c r="E5" s="30">
        <v>115.33</v>
      </c>
      <c r="F5" s="30">
        <v>0.85399999999999998</v>
      </c>
      <c r="G5" s="30">
        <v>221.5</v>
      </c>
      <c r="H5" s="30" t="s">
        <v>99</v>
      </c>
      <c r="K5" s="30">
        <v>216.8</v>
      </c>
      <c r="L5" s="30">
        <v>511.2</v>
      </c>
    </row>
    <row r="6" spans="1:12" s="29" customFormat="1" ht="13.2" x14ac:dyDescent="0.25">
      <c r="A6" s="30" t="s">
        <v>92</v>
      </c>
      <c r="B6" s="30">
        <v>5</v>
      </c>
      <c r="C6" s="30">
        <v>0</v>
      </c>
      <c r="D6" s="30">
        <v>0.37059999999999998</v>
      </c>
      <c r="E6" s="30">
        <v>115.39</v>
      </c>
      <c r="F6" s="30">
        <v>0.85399999999999998</v>
      </c>
      <c r="G6" s="30">
        <v>221.62</v>
      </c>
      <c r="H6" s="30" t="s">
        <v>99</v>
      </c>
      <c r="K6" s="30">
        <v>221.5</v>
      </c>
      <c r="L6" s="30">
        <v>697.4</v>
      </c>
    </row>
    <row r="7" spans="1:12" s="29" customFormat="1" ht="13.2" x14ac:dyDescent="0.25">
      <c r="A7" s="30" t="s">
        <v>93</v>
      </c>
      <c r="B7" s="30">
        <v>10</v>
      </c>
      <c r="C7" s="30">
        <v>0</v>
      </c>
      <c r="D7" s="30">
        <v>4.4000000000000003E-3</v>
      </c>
      <c r="E7" s="30">
        <v>102.49</v>
      </c>
      <c r="F7" s="30">
        <v>0.85399999999999998</v>
      </c>
      <c r="G7" s="30">
        <v>196.74</v>
      </c>
      <c r="H7" s="30" t="s">
        <v>99</v>
      </c>
      <c r="K7" s="30">
        <v>221.62</v>
      </c>
      <c r="L7" s="30">
        <v>1112.5999999999999</v>
      </c>
    </row>
    <row r="8" spans="1:12" s="29" customFormat="1" ht="13.2" x14ac:dyDescent="0.25">
      <c r="A8" s="30" t="s">
        <v>94</v>
      </c>
      <c r="B8" s="30">
        <v>500</v>
      </c>
      <c r="C8" s="30">
        <v>0</v>
      </c>
      <c r="D8" s="30">
        <v>2.2000000000000001E-3</v>
      </c>
      <c r="E8" s="30">
        <v>118.62</v>
      </c>
      <c r="F8" s="30">
        <v>0.85399999999999998</v>
      </c>
      <c r="G8" s="30">
        <v>227.6</v>
      </c>
      <c r="H8" s="30" t="s">
        <v>99</v>
      </c>
      <c r="K8" s="30">
        <v>196.74</v>
      </c>
      <c r="L8" s="30">
        <v>1016.3</v>
      </c>
    </row>
    <row r="9" spans="1:12" s="29" customFormat="1" ht="13.2" x14ac:dyDescent="0.25">
      <c r="A9" s="30" t="s">
        <v>95</v>
      </c>
      <c r="B9" s="30">
        <v>100</v>
      </c>
      <c r="C9" s="30">
        <v>0</v>
      </c>
      <c r="D9" s="30">
        <v>1.0999999999999999E-2</v>
      </c>
      <c r="E9" s="30">
        <v>151.44999999999999</v>
      </c>
      <c r="F9" s="30">
        <v>0.85399999999999998</v>
      </c>
      <c r="G9" s="30">
        <v>290.63</v>
      </c>
      <c r="H9" s="30" t="s">
        <v>99</v>
      </c>
      <c r="K9" s="30">
        <v>227.6</v>
      </c>
      <c r="L9" s="30">
        <v>1323.8</v>
      </c>
    </row>
    <row r="10" spans="1:12" s="29" customFormat="1" ht="13.2" x14ac:dyDescent="0.25">
      <c r="A10" s="30" t="s">
        <v>96</v>
      </c>
      <c r="B10" s="30">
        <v>500</v>
      </c>
      <c r="C10" s="30">
        <v>0</v>
      </c>
      <c r="D10" s="30">
        <v>1.0999999999999999E-2</v>
      </c>
      <c r="E10" s="30">
        <v>31.96</v>
      </c>
      <c r="F10" s="30">
        <v>0.85399999999999998</v>
      </c>
      <c r="G10" s="30">
        <v>61.38</v>
      </c>
      <c r="H10" s="30" t="s">
        <v>102</v>
      </c>
      <c r="K10" s="30">
        <v>290.63</v>
      </c>
      <c r="L10" s="30">
        <v>674.1</v>
      </c>
    </row>
    <row r="11" spans="1:12" s="29" customFormat="1" ht="13.2" x14ac:dyDescent="0.25">
      <c r="A11" s="30" t="s">
        <v>97</v>
      </c>
      <c r="B11" s="30">
        <v>45</v>
      </c>
      <c r="C11" s="30">
        <v>0</v>
      </c>
      <c r="D11" s="30">
        <v>2.47E-2</v>
      </c>
      <c r="E11" s="30">
        <v>40.32</v>
      </c>
      <c r="F11" s="30">
        <v>0.85399999999999998</v>
      </c>
      <c r="G11" s="30">
        <v>77.42</v>
      </c>
      <c r="H11" s="30" t="s">
        <v>102</v>
      </c>
      <c r="K11" s="30">
        <v>61.38</v>
      </c>
      <c r="L11" s="30">
        <v>1139.2</v>
      </c>
    </row>
    <row r="12" spans="1:12" s="29" customFormat="1" ht="13.2" x14ac:dyDescent="0.25">
      <c r="A12" s="30" t="s">
        <v>98</v>
      </c>
      <c r="B12" s="30">
        <v>5</v>
      </c>
      <c r="C12" s="30">
        <v>0</v>
      </c>
      <c r="D12" s="30">
        <v>0.2223</v>
      </c>
      <c r="E12" s="30">
        <v>44.25</v>
      </c>
      <c r="F12" s="30">
        <v>0.85399999999999998</v>
      </c>
      <c r="G12" s="30">
        <v>84.91</v>
      </c>
      <c r="H12" s="30" t="s">
        <v>102</v>
      </c>
      <c r="K12" s="30">
        <v>77.42</v>
      </c>
      <c r="L12" s="30">
        <v>846.5</v>
      </c>
    </row>
    <row r="13" spans="1:12" x14ac:dyDescent="0.3">
      <c r="K13" s="30">
        <v>84.91</v>
      </c>
      <c r="L13" s="30">
        <v>774.3</v>
      </c>
    </row>
    <row r="14" spans="1:12" ht="15.6" x14ac:dyDescent="0.3">
      <c r="K14" s="31">
        <f>SUM(K4:K13)</f>
        <v>1821.39</v>
      </c>
      <c r="L14" s="31">
        <f>SUM(L4:L13)</f>
        <v>8626.2000000000007</v>
      </c>
    </row>
    <row r="15" spans="1:12" ht="15.6" x14ac:dyDescent="0.3">
      <c r="K15" s="31"/>
      <c r="L15" s="31"/>
    </row>
    <row r="16" spans="1:12" ht="15.6" x14ac:dyDescent="0.3">
      <c r="A16" s="22" t="s">
        <v>100</v>
      </c>
      <c r="B16" s="22"/>
      <c r="C16" s="22"/>
      <c r="D16" s="22"/>
      <c r="E16" s="22"/>
      <c r="F16" s="22"/>
      <c r="G16" s="22"/>
      <c r="H16" s="22"/>
    </row>
    <row r="17" spans="1:8" x14ac:dyDescent="0.3">
      <c r="A17" s="16" t="s">
        <v>81</v>
      </c>
      <c r="B17" s="16" t="s">
        <v>82</v>
      </c>
      <c r="C17" s="16" t="s">
        <v>83</v>
      </c>
      <c r="D17" s="16" t="s">
        <v>84</v>
      </c>
      <c r="E17" s="16" t="s">
        <v>85</v>
      </c>
      <c r="F17" s="16" t="s">
        <v>86</v>
      </c>
      <c r="G17" s="16" t="s">
        <v>87</v>
      </c>
      <c r="H17" s="16" t="s">
        <v>88</v>
      </c>
    </row>
    <row r="18" spans="1:8" x14ac:dyDescent="0.3">
      <c r="A18" s="30" t="s">
        <v>89</v>
      </c>
      <c r="B18" s="30">
        <v>8.5</v>
      </c>
      <c r="C18" s="30">
        <v>7</v>
      </c>
      <c r="D18" s="30">
        <v>0.1176</v>
      </c>
      <c r="E18" s="30">
        <v>453.5</v>
      </c>
      <c r="F18" s="30">
        <v>0.85399999999999998</v>
      </c>
      <c r="G18" s="30">
        <v>530.79999999999995</v>
      </c>
      <c r="H18" s="30" t="s">
        <v>99</v>
      </c>
    </row>
    <row r="19" spans="1:8" x14ac:dyDescent="0.3">
      <c r="A19" s="30" t="s">
        <v>90</v>
      </c>
      <c r="B19" s="30">
        <v>1500</v>
      </c>
      <c r="C19" s="30">
        <v>0</v>
      </c>
      <c r="D19" s="30">
        <v>6.7000000000000002E-4</v>
      </c>
      <c r="E19" s="30">
        <v>436.3</v>
      </c>
      <c r="F19" s="30">
        <v>0.85399999999999998</v>
      </c>
      <c r="G19" s="30">
        <v>511.2</v>
      </c>
      <c r="H19" s="30" t="s">
        <v>99</v>
      </c>
    </row>
    <row r="20" spans="1:8" x14ac:dyDescent="0.3">
      <c r="A20" s="30" t="s">
        <v>91</v>
      </c>
      <c r="B20" s="30">
        <v>5</v>
      </c>
      <c r="C20" s="30">
        <v>5</v>
      </c>
      <c r="D20" s="30">
        <v>0.2</v>
      </c>
      <c r="E20" s="30">
        <v>595.79999999999995</v>
      </c>
      <c r="F20" s="30">
        <v>0.85399999999999998</v>
      </c>
      <c r="G20" s="30">
        <v>697.4</v>
      </c>
      <c r="H20" s="30" t="s">
        <v>99</v>
      </c>
    </row>
    <row r="21" spans="1:8" x14ac:dyDescent="0.3">
      <c r="A21" s="30" t="s">
        <v>92</v>
      </c>
      <c r="B21" s="30">
        <v>5</v>
      </c>
      <c r="C21" s="30">
        <v>0</v>
      </c>
      <c r="D21" s="30">
        <v>0.2</v>
      </c>
      <c r="E21" s="30">
        <v>950.2</v>
      </c>
      <c r="F21" s="30">
        <v>0.85399999999999998</v>
      </c>
      <c r="G21" s="30">
        <v>1112.5999999999999</v>
      </c>
      <c r="H21" s="30" t="s">
        <v>99</v>
      </c>
    </row>
    <row r="22" spans="1:8" x14ac:dyDescent="0.3">
      <c r="A22" s="30" t="s">
        <v>93</v>
      </c>
      <c r="B22" s="30">
        <v>10</v>
      </c>
      <c r="C22" s="30">
        <v>0</v>
      </c>
      <c r="D22" s="30">
        <v>0.1</v>
      </c>
      <c r="E22" s="30">
        <v>868.3</v>
      </c>
      <c r="F22" s="30">
        <v>0.85399999999999998</v>
      </c>
      <c r="G22" s="30">
        <v>1016.3</v>
      </c>
      <c r="H22" s="30" t="s">
        <v>99</v>
      </c>
    </row>
    <row r="23" spans="1:8" x14ac:dyDescent="0.3">
      <c r="A23" s="30" t="s">
        <v>94</v>
      </c>
      <c r="B23" s="30">
        <v>500</v>
      </c>
      <c r="C23" s="30">
        <v>0</v>
      </c>
      <c r="D23" s="30">
        <v>2E-3</v>
      </c>
      <c r="E23" s="30">
        <v>1130.5999999999999</v>
      </c>
      <c r="F23" s="30">
        <v>0.85399999999999998</v>
      </c>
      <c r="G23" s="30">
        <v>1323.8</v>
      </c>
      <c r="H23" s="30" t="s">
        <v>99</v>
      </c>
    </row>
    <row r="24" spans="1:8" x14ac:dyDescent="0.3">
      <c r="A24" s="30" t="s">
        <v>95</v>
      </c>
      <c r="B24" s="30">
        <v>100</v>
      </c>
      <c r="C24" s="30">
        <v>0</v>
      </c>
      <c r="D24" s="30">
        <v>0.01</v>
      </c>
      <c r="E24" s="30">
        <v>575.6</v>
      </c>
      <c r="F24" s="30">
        <v>0.85399999999999998</v>
      </c>
      <c r="G24" s="30">
        <v>674.1</v>
      </c>
      <c r="H24" s="30" t="s">
        <v>99</v>
      </c>
    </row>
    <row r="25" spans="1:8" x14ac:dyDescent="0.3">
      <c r="A25" s="30" t="s">
        <v>96</v>
      </c>
      <c r="B25" s="30">
        <v>500</v>
      </c>
      <c r="C25" s="30">
        <v>0</v>
      </c>
      <c r="D25" s="30">
        <v>2E-3</v>
      </c>
      <c r="E25" s="30">
        <v>974.1</v>
      </c>
      <c r="F25" s="30">
        <v>0.85399999999999998</v>
      </c>
      <c r="G25" s="30">
        <v>1139.2</v>
      </c>
      <c r="H25" s="30" t="s">
        <v>99</v>
      </c>
    </row>
    <row r="26" spans="1:8" x14ac:dyDescent="0.3">
      <c r="A26" s="30" t="s">
        <v>97</v>
      </c>
      <c r="B26" s="30">
        <v>45</v>
      </c>
      <c r="C26" s="30">
        <v>0</v>
      </c>
      <c r="D26" s="30">
        <v>2.2200000000000001E-2</v>
      </c>
      <c r="E26" s="30">
        <v>722.8</v>
      </c>
      <c r="F26" s="30">
        <v>0.85399999999999998</v>
      </c>
      <c r="G26" s="30">
        <v>846.5</v>
      </c>
      <c r="H26" s="30" t="s">
        <v>99</v>
      </c>
    </row>
    <row r="27" spans="1:8" x14ac:dyDescent="0.3">
      <c r="A27" s="30" t="s">
        <v>98</v>
      </c>
      <c r="B27" s="30">
        <v>5</v>
      </c>
      <c r="C27" s="30">
        <v>0</v>
      </c>
      <c r="D27" s="30">
        <v>0.2</v>
      </c>
      <c r="E27" s="30">
        <v>661.7</v>
      </c>
      <c r="F27" s="30">
        <v>0.85399999999999998</v>
      </c>
      <c r="G27" s="30">
        <v>774.3</v>
      </c>
      <c r="H27" s="30" t="s">
        <v>99</v>
      </c>
    </row>
  </sheetData>
  <mergeCells count="3">
    <mergeCell ref="A1:H1"/>
    <mergeCell ref="A16:H16"/>
    <mergeCell ref="K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Sameena G A</dc:creator>
  <cp:lastModifiedBy>sameenaga@gmail.com</cp:lastModifiedBy>
  <dcterms:created xsi:type="dcterms:W3CDTF">2015-06-05T18:17:20Z</dcterms:created>
  <dcterms:modified xsi:type="dcterms:W3CDTF">2025-11-11T18:42:53Z</dcterms:modified>
</cp:coreProperties>
</file>